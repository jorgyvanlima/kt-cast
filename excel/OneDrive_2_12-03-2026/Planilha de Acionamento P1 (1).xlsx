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tereos-my.sharepoint.com/personal/vinicius_silva-external_tereos_com/Documents/"/>
    </mc:Choice>
  </mc:AlternateContent>
  <xr:revisionPtr revIDLastSave="1740" documentId="8_{A996E5FF-C5DD-46D9-94BA-A7448AF618D8}" xr6:coauthVersionLast="47" xr6:coauthVersionMax="47" xr10:uidLastSave="{D77F7D39-FB12-467A-9137-6026A2A7C91D}"/>
  <bookViews>
    <workbookView xWindow="-120" yWindow="-120" windowWidth="29040" windowHeight="15720" tabRatio="920" xr2:uid="{8C290A45-751E-4E4D-9194-F6192E4F6223}"/>
  </bookViews>
  <sheets>
    <sheet name="Contatos" sheetId="18" r:id="rId1"/>
    <sheet name="Servidores" sheetId="1" r:id="rId2"/>
    <sheet name="Banco de dados" sheetId="2" r:id="rId3"/>
    <sheet name="SAP" sheetId="3" r:id="rId4"/>
    <sheet name="BR - Oasis - Simplefarm" sheetId="4" r:id="rId5"/>
    <sheet name="BR - Oasis - SimpleFarm -Mobile" sheetId="19" r:id="rId6"/>
    <sheet name="POV Oficina" sheetId="20" r:id="rId7"/>
    <sheet name="GAtec TPS" sheetId="21" r:id="rId8"/>
    <sheet name="GAtec Scouting" sheetId="22" r:id="rId9"/>
    <sheet name="BR - GATEC Industrial" sheetId="5" r:id="rId10"/>
    <sheet name="SmartZ(Zella)" sheetId="26" r:id="rId11"/>
    <sheet name="BR - Logtrac" sheetId="13" r:id="rId12"/>
    <sheet name="Solinftec" sheetId="23" r:id="rId13"/>
    <sheet name="BR - Autolab" sheetId="16" r:id="rId14"/>
    <sheet name="Talend" sheetId="11" r:id="rId15"/>
    <sheet name="AD" sheetId="6" r:id="rId16"/>
    <sheet name="TSB - Time Slot Booking" sheetId="25" r:id="rId17"/>
    <sheet name="Nobreak" sheetId="7" r:id="rId18"/>
    <sheet name="Velocloud" sheetId="10" r:id="rId19"/>
    <sheet name="Internet" sheetId="8" r:id="rId20"/>
    <sheet name="Controller" sheetId="9" r:id="rId21"/>
    <sheet name="Fields iK - SobreAviso" sheetId="24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4" l="1"/>
  <c r="C11" i="24"/>
  <c r="C9" i="24"/>
  <c r="C3" i="24"/>
  <c r="C4" i="24"/>
  <c r="C5" i="24"/>
  <c r="C6" i="24"/>
  <c r="C7" i="24"/>
  <c r="C8" i="24"/>
  <c r="C2" i="24"/>
  <c r="D6" i="9"/>
  <c r="D7" i="9"/>
  <c r="D8" i="9"/>
  <c r="D5" i="9"/>
  <c r="D6" i="8"/>
  <c r="D7" i="8"/>
  <c r="D8" i="8"/>
  <c r="D5" i="8"/>
  <c r="D6" i="10"/>
  <c r="D7" i="10"/>
  <c r="D8" i="10"/>
  <c r="D5" i="10"/>
  <c r="D4" i="7"/>
  <c r="D5" i="7"/>
  <c r="D3" i="7"/>
  <c r="D2" i="7"/>
  <c r="D4" i="25"/>
  <c r="D5" i="25"/>
  <c r="D3" i="25"/>
  <c r="D2" i="25"/>
  <c r="D5" i="6"/>
  <c r="D6" i="6"/>
  <c r="D4" i="6"/>
  <c r="D4" i="11"/>
  <c r="D3" i="11"/>
  <c r="D4" i="16"/>
  <c r="D5" i="16"/>
  <c r="D3" i="16"/>
  <c r="D2" i="16"/>
  <c r="D7" i="23"/>
  <c r="D8" i="23"/>
  <c r="D6" i="23"/>
  <c r="D5" i="23"/>
  <c r="D13" i="13"/>
  <c r="D14" i="13"/>
  <c r="D12" i="13"/>
  <c r="D11" i="13"/>
  <c r="D5" i="26"/>
  <c r="D6" i="26"/>
  <c r="D4" i="26"/>
  <c r="D3" i="26"/>
  <c r="D4" i="5"/>
  <c r="D5" i="5"/>
  <c r="D3" i="5"/>
  <c r="D2" i="5"/>
  <c r="D8" i="22"/>
  <c r="D9" i="22"/>
  <c r="D7" i="22"/>
  <c r="D6" i="22"/>
  <c r="D7" i="21"/>
  <c r="D8" i="21"/>
  <c r="D6" i="21"/>
  <c r="D5" i="21"/>
  <c r="D7" i="20"/>
  <c r="D8" i="20"/>
  <c r="D6" i="20"/>
  <c r="D5" i="20"/>
  <c r="D7" i="19"/>
  <c r="D8" i="19"/>
  <c r="D6" i="19"/>
  <c r="D5" i="19"/>
  <c r="D7" i="4"/>
  <c r="D8" i="4"/>
  <c r="D6" i="4"/>
  <c r="D5" i="4"/>
  <c r="D5" i="1"/>
  <c r="D6" i="1"/>
  <c r="D7" i="1"/>
  <c r="D4" i="1"/>
  <c r="D5" i="2"/>
  <c r="D6" i="2"/>
  <c r="D7" i="2"/>
  <c r="D4" i="2"/>
  <c r="D24" i="3"/>
  <c r="D23" i="3"/>
  <c r="D22" i="3"/>
  <c r="D19" i="3"/>
  <c r="D18" i="3"/>
  <c r="D17" i="3"/>
  <c r="D14" i="3"/>
  <c r="D13" i="3"/>
  <c r="D12" i="3"/>
  <c r="D4" i="3"/>
  <c r="D3" i="3"/>
  <c r="D2" i="3"/>
  <c r="D7" i="3"/>
  <c r="D9" i="3"/>
  <c r="D8" i="3"/>
</calcChain>
</file>

<file path=xl/sharedStrings.xml><?xml version="1.0" encoding="utf-8"?>
<sst xmlns="http://schemas.openxmlformats.org/spreadsheetml/2006/main" count="936" uniqueCount="226">
  <si>
    <t>Time</t>
  </si>
  <si>
    <t>Nome</t>
  </si>
  <si>
    <t>Celular corporativo</t>
  </si>
  <si>
    <t>E-mail</t>
  </si>
  <si>
    <t>Aplicações Estratégicas</t>
  </si>
  <si>
    <t>Felix Passos Silva</t>
  </si>
  <si>
    <t>17-99737-7501</t>
  </si>
  <si>
    <t>felix.silva@tereos.com</t>
  </si>
  <si>
    <t>Andrea Moraes Lima</t>
  </si>
  <si>
    <t>17-99608-2096</t>
  </si>
  <si>
    <t>andrea.lima@tereos.com</t>
  </si>
  <si>
    <r>
      <rPr>
        <b/>
        <sz val="11"/>
        <color rgb="FFFF0000"/>
        <rFont val="Aptos Narrow"/>
      </rPr>
      <t>Regra:</t>
    </r>
    <r>
      <rPr>
        <sz val="11"/>
        <color rgb="FF000000"/>
        <rFont val="Aptos Narrow"/>
      </rPr>
      <t xml:space="preserve"> Antes de acionar um Gestor, acionar o Vinicius(Gestor Tereos).
(11)99014-2049</t>
    </r>
  </si>
  <si>
    <t>Rafael Aparecido Bertoco</t>
  </si>
  <si>
    <t>17-99669-8154</t>
  </si>
  <si>
    <t>rafael.bertoco@tereos.com</t>
  </si>
  <si>
    <t>Thales Vitor Fossalussa da Silva</t>
  </si>
  <si>
    <t>17-99706-5355</t>
  </si>
  <si>
    <t>thales.fossalussa@tereos.com</t>
  </si>
  <si>
    <t>Diego Da Silva Duarte</t>
  </si>
  <si>
    <t>17-98125-0953</t>
  </si>
  <si>
    <t>diego.duarte@tereos.com</t>
  </si>
  <si>
    <t>Luis Henrique Madalena Lacerda</t>
  </si>
  <si>
    <t>17 99738-2188</t>
  </si>
  <si>
    <t>luis.lacerda@tereos.com</t>
  </si>
  <si>
    <t>Luiz Otávio Santana</t>
  </si>
  <si>
    <t>17-99784-2844</t>
  </si>
  <si>
    <t>luiz.santana@tereos.com</t>
  </si>
  <si>
    <t>Rubens Correa Junior</t>
  </si>
  <si>
    <t>17 - 996215383</t>
  </si>
  <si>
    <t>rubens.correa@tereos.com</t>
  </si>
  <si>
    <t>Rodrigo Da Silva Audi</t>
  </si>
  <si>
    <t>17-99683-7757</t>
  </si>
  <si>
    <t>rodrigo.audi@tereos.com</t>
  </si>
  <si>
    <t>Infra</t>
  </si>
  <si>
    <t>André Sabino Petean Galvão</t>
  </si>
  <si>
    <t>17-99638-8804</t>
  </si>
  <si>
    <t>andre.galvao@tereos.com</t>
  </si>
  <si>
    <t>Ygor de Alencar Pereira</t>
  </si>
  <si>
    <t>17-98117-3396</t>
  </si>
  <si>
    <t>ygor.pereira@tereos.com</t>
  </si>
  <si>
    <t>Gestor Infra</t>
  </si>
  <si>
    <t>Rodrigo Sandrin</t>
  </si>
  <si>
    <t>17-99648-4555</t>
  </si>
  <si>
    <t>rodrigo.sandrin@tereos.com</t>
  </si>
  <si>
    <t>Gestor EndUser</t>
  </si>
  <si>
    <t>Helen Mendes de Oliveira</t>
  </si>
  <si>
    <t>17-99645-0645</t>
  </si>
  <si>
    <t>helen.oliveira@tereos.com</t>
  </si>
  <si>
    <t>Gerente TI</t>
  </si>
  <si>
    <t>Caio Albuquerque</t>
  </si>
  <si>
    <t>17-99647-7590</t>
  </si>
  <si>
    <t>caio.albuquerque@tereos.com</t>
  </si>
  <si>
    <t>Diretor TI</t>
  </si>
  <si>
    <t>Daniel Keller</t>
  </si>
  <si>
    <t>17-99626-1993</t>
  </si>
  <si>
    <t>daniel.keller@tereos.com</t>
  </si>
  <si>
    <t>SAP</t>
  </si>
  <si>
    <t>Jonas Zampietro</t>
  </si>
  <si>
    <t>17-99663-5164</t>
  </si>
  <si>
    <t>jonas.sanches@tereos.com</t>
  </si>
  <si>
    <t>Cesário Daniel</t>
  </si>
  <si>
    <t>17-99738-6565</t>
  </si>
  <si>
    <t>cesario.oliveira@tereos.com</t>
  </si>
  <si>
    <t>Adalberto Correa</t>
  </si>
  <si>
    <t>17-99772-7052</t>
  </si>
  <si>
    <t>adalberto.correa@tereos.com</t>
  </si>
  <si>
    <t>Tiago Claudiano</t>
  </si>
  <si>
    <t>17-99611-0307</t>
  </si>
  <si>
    <t>tiago.claudiano@tereos.com</t>
  </si>
  <si>
    <t>Redes</t>
  </si>
  <si>
    <t>Braz Cardoso Junior</t>
  </si>
  <si>
    <t>11 94539-0377</t>
  </si>
  <si>
    <t>braz.cardoso@tereos.com</t>
  </si>
  <si>
    <t>Felipe Chianezzi Nascimento</t>
  </si>
  <si>
    <t>17 99194-8081</t>
  </si>
  <si>
    <t>felipe.chianezzi@tereos.com</t>
  </si>
  <si>
    <t>Ana Carolina Rodrigues Izaias</t>
  </si>
  <si>
    <t>17-99764-6559</t>
  </si>
  <si>
    <t>ana.izaias@tereos.com</t>
  </si>
  <si>
    <t>Lucas Garcia</t>
  </si>
  <si>
    <t>17-98177-4443</t>
  </si>
  <si>
    <t>lucas.lourencao@tereos.com</t>
  </si>
  <si>
    <t>Talend</t>
  </si>
  <si>
    <t>Lucas Florio Mascarenhas dos Santos</t>
  </si>
  <si>
    <t>17-99772-5375</t>
  </si>
  <si>
    <t>lucas.santos5@tereos.com</t>
  </si>
  <si>
    <t>Gerente Arquitetura e Soluções TI</t>
  </si>
  <si>
    <t>Leonardo Mauricio Da Rocha</t>
  </si>
  <si>
    <t>17-99766-2574</t>
  </si>
  <si>
    <t>leonardo.rocha@tereos.com</t>
  </si>
  <si>
    <t>Coordenador de Service Desk &amp; Field Services</t>
  </si>
  <si>
    <t>Vinicius De Souza Silva</t>
  </si>
  <si>
    <t>11-99014-2049</t>
  </si>
  <si>
    <t>vinicius.silva-external@tereos.com</t>
  </si>
  <si>
    <t>Gestor TI</t>
  </si>
  <si>
    <t>Marcelo Alves Franco</t>
  </si>
  <si>
    <t>17-98135-3333</t>
  </si>
  <si>
    <t>marcelo.franco@tereos.com</t>
  </si>
  <si>
    <t>Jota Sousa</t>
  </si>
  <si>
    <t>17-99787-0087</t>
  </si>
  <si>
    <t>jota.sousa@tereos.com</t>
  </si>
  <si>
    <t>Luciano De Souza</t>
  </si>
  <si>
    <t>17-98177-4445</t>
  </si>
  <si>
    <t>luciano.souza@tereos.com</t>
  </si>
  <si>
    <t>Field Services</t>
  </si>
  <si>
    <t>Felipe Mortati</t>
  </si>
  <si>
    <t>17-99783-5048</t>
  </si>
  <si>
    <t>felipe.mortati-external@tereos.com</t>
  </si>
  <si>
    <t>Rafaela Toder</t>
  </si>
  <si>
    <t>17-99618-1581</t>
  </si>
  <si>
    <t>rafaela.toder-external@tereos.com</t>
  </si>
  <si>
    <t>Alessandro Calil Wendland</t>
  </si>
  <si>
    <t>17-99781-4513</t>
  </si>
  <si>
    <t>alessandro.wendland-external@tereos.com</t>
  </si>
  <si>
    <t>Lucas Darezzo Quiozini</t>
  </si>
  <si>
    <t>17-99781-6893</t>
  </si>
  <si>
    <t>lucas.quiozini-external@tereos.com</t>
  </si>
  <si>
    <t>Igor de Jesus Ferreira</t>
  </si>
  <si>
    <t>17-99167-4055</t>
  </si>
  <si>
    <t>igor.ferreira-external1@tereos.com</t>
  </si>
  <si>
    <t>Felipe Thomazella Ferri</t>
  </si>
  <si>
    <t>17-99789-5734</t>
  </si>
  <si>
    <t>felipe.ferri-external@tereos.com</t>
  </si>
  <si>
    <t>Gestores</t>
  </si>
  <si>
    <t>Serviço</t>
  </si>
  <si>
    <t>Nível</t>
  </si>
  <si>
    <t>Especialista</t>
  </si>
  <si>
    <t>Contato</t>
  </si>
  <si>
    <t>Acionamento</t>
  </si>
  <si>
    <t>Acompanhamento</t>
  </si>
  <si>
    <t>Servidores</t>
  </si>
  <si>
    <t>1º nível</t>
  </si>
  <si>
    <t>André Sabino Petean Galvão (Dia 01 ao 15)</t>
  </si>
  <si>
    <t>3 tentativas a cada 5min</t>
  </si>
  <si>
    <t>Em 15min</t>
  </si>
  <si>
    <t>Ygor de Alencar Pereira(Dia 16 ao 31)</t>
  </si>
  <si>
    <t>2º Nível</t>
  </si>
  <si>
    <t>Em 30 min</t>
  </si>
  <si>
    <t>3º Nível</t>
  </si>
  <si>
    <t>Em 1 hora</t>
  </si>
  <si>
    <t>4º Nível</t>
  </si>
  <si>
    <t>Em 2 horas</t>
  </si>
  <si>
    <t>5º Nível</t>
  </si>
  <si>
    <t>Em 4 horas</t>
  </si>
  <si>
    <t> </t>
  </si>
  <si>
    <t>Aplicação</t>
  </si>
  <si>
    <t>Banco de Dados</t>
  </si>
  <si>
    <t>Módulo SAP</t>
  </si>
  <si>
    <t>Nota fiscal de saída/venda (Balança)</t>
  </si>
  <si>
    <t>1º Nível</t>
  </si>
  <si>
    <t>FI/CO/PS (fechamento / pagamento e custo)</t>
  </si>
  <si>
    <t>Nota Fiscal (Faturamento de cana)</t>
  </si>
  <si>
    <t>Serviço SAP</t>
  </si>
  <si>
    <t>Performance - Lentidão</t>
  </si>
  <si>
    <t>PP/PM/QM (abastecimento e manutenção)</t>
  </si>
  <si>
    <t>Celular</t>
  </si>
  <si>
    <t>BR - Oasis – Simplefarm</t>
  </si>
  <si>
    <t>Suporte Gatec</t>
  </si>
  <si>
    <t>0800513-6700 ou 473213-6700 ou 473221-3300</t>
  </si>
  <si>
    <r>
      <t>Regra:</t>
    </r>
    <r>
      <rPr>
        <sz val="11"/>
        <color rgb="FF000000"/>
        <rFont val="Aptos Narrow"/>
        <family val="2"/>
      </rPr>
      <t xml:space="preserve"> Antes de acionar um Gestor, acionar o Vinicius(Gestor Tereos).</t>
    </r>
    <r>
      <rPr>
        <b/>
        <sz val="11"/>
        <rFont val="Aptos Narrow"/>
        <family val="2"/>
      </rPr>
      <t xml:space="preserve">
(11)99014-2049</t>
    </r>
  </si>
  <si>
    <t>Na URA escolher a opção 9 "Digite o ramal desejado". Em seguida, basta digitar o número 20023.</t>
  </si>
  <si>
    <r>
      <t>Obs:</t>
    </r>
    <r>
      <rPr>
        <sz val="11"/>
        <color rgb="FF000000"/>
        <rFont val="Aptos Narrow"/>
        <family val="2"/>
      </rPr>
      <t xml:space="preserve"> Ligar apenas se o incidente impactar toda a operação. Caso contrário, informe ao usuário que será necessário aguardar até horário comercial.</t>
    </r>
  </si>
  <si>
    <t>André Simião(GAtec)
Sandro Morete(GAtec)</t>
  </si>
  <si>
    <t>19 98225-6698
19 98184-7357</t>
  </si>
  <si>
    <t>Em 45 min</t>
  </si>
  <si>
    <t>Em 1h30</t>
  </si>
  <si>
    <t>6º Nível</t>
  </si>
  <si>
    <t>Em 3 horas</t>
  </si>
  <si>
    <t>BR - Oasis - SimpleFarm -Mobile</t>
  </si>
  <si>
    <t>POV - Oficina</t>
  </si>
  <si>
    <r>
      <t>Regra:</t>
    </r>
    <r>
      <rPr>
        <sz val="11"/>
        <color rgb="FF000000"/>
        <rFont val="Aptos Narrow"/>
        <family val="2"/>
      </rPr>
      <t xml:space="preserve"> Antes de acionar um Gestor, acionar o Vinicius(Gestor Tereos).</t>
    </r>
    <r>
      <rPr>
        <b/>
        <sz val="11"/>
        <color rgb="FF000000"/>
        <rFont val="Aptos Narrow"/>
        <family val="2"/>
      </rPr>
      <t xml:space="preserve">
(11)99014-2049</t>
    </r>
  </si>
  <si>
    <r>
      <t>Obs</t>
    </r>
    <r>
      <rPr>
        <b/>
        <sz val="11"/>
        <color rgb="FF000000"/>
        <rFont val="Aptos Narrow"/>
        <family val="2"/>
      </rPr>
      <t xml:space="preserve">: </t>
    </r>
    <r>
      <rPr>
        <sz val="11"/>
        <color rgb="FF000000"/>
        <rFont val="Aptos Narrow"/>
        <family val="2"/>
      </rPr>
      <t>Ligar apenas se o incidente impactar toda a operação. Caso contrário, informe ao usuário que será necessário aguardar até horário comercial.</t>
    </r>
  </si>
  <si>
    <t>Luciano de Souza</t>
  </si>
  <si>
    <t>Gatec TPS</t>
  </si>
  <si>
    <r>
      <t xml:space="preserve">Regra: </t>
    </r>
    <r>
      <rPr>
        <sz val="11"/>
        <rFont val="Aptos Narrow"/>
        <family val="2"/>
      </rPr>
      <t>Antes de acionar um Gestor, acionar o Vinicius(Gestor Tereos).
(11)99014-2049</t>
    </r>
  </si>
  <si>
    <t>OBS: Ligar apenas se o incidente impactar toda a operação. Caso contrário, informe ao usuário que será necessário aguardar até horário comercial.</t>
  </si>
  <si>
    <t>GAtec Scouting</t>
  </si>
  <si>
    <t>GAtec Industrial</t>
  </si>
  <si>
    <r>
      <t xml:space="preserve">Regra: </t>
    </r>
    <r>
      <rPr>
        <sz val="11"/>
        <rFont val="Aptos Narrow"/>
        <family val="2"/>
      </rPr>
      <t>Antes de acionar um Gestor, acionar o Vinicius(Gestor Tereos).</t>
    </r>
    <r>
      <rPr>
        <b/>
        <sz val="11"/>
        <rFont val="Aptos Narrow"/>
        <family val="2"/>
      </rPr>
      <t xml:space="preserve">
(11)99014-2049</t>
    </r>
  </si>
  <si>
    <t>SmartZ</t>
  </si>
  <si>
    <t>Suporte SmartZ(Zella)</t>
  </si>
  <si>
    <t>14-3644-9191</t>
  </si>
  <si>
    <r>
      <t>Regra:</t>
    </r>
    <r>
      <rPr>
        <sz val="11"/>
        <color rgb="FF000000"/>
        <rFont val="Aptos Narrow"/>
      </rPr>
      <t xml:space="preserve"> </t>
    </r>
    <r>
      <rPr>
        <sz val="11"/>
        <rFont val="Aptos Narrow"/>
        <family val="2"/>
      </rPr>
      <t>Antes de acionar um Gestor, acionar o Vinicius(Gestor Tereos).
(11)99014-2049</t>
    </r>
  </si>
  <si>
    <t>Logtrac</t>
  </si>
  <si>
    <t>Suporte Logtrac</t>
  </si>
  <si>
    <t>Ligar para todos os contatos até que algum atenda:</t>
  </si>
  <si>
    <t>João Pedro - 16 99604-2503</t>
  </si>
  <si>
    <t>Gabriel Sampaio - 11 9866-3973</t>
  </si>
  <si>
    <t>Gabriel Coelho - 67 9664-7261</t>
  </si>
  <si>
    <t>Anna Gabriela - 16 999147-2197</t>
  </si>
  <si>
    <t>Gabriel Leite - 11 95323-1623</t>
  </si>
  <si>
    <t>Juliana Linhares - 16 99399-4554</t>
  </si>
  <si>
    <t>Rogério Junqueira - 16 99792-5570</t>
  </si>
  <si>
    <t>Raimundo(Logtrac)</t>
  </si>
  <si>
    <t>16-99147-2197</t>
  </si>
  <si>
    <r>
      <t>Regra:</t>
    </r>
    <r>
      <rPr>
        <sz val="11"/>
        <color rgb="FF000000"/>
        <rFont val="Aptos Narrow"/>
        <family val="2"/>
      </rPr>
      <t xml:space="preserve"> </t>
    </r>
    <r>
      <rPr>
        <sz val="11"/>
        <rFont val="Aptos Narrow"/>
        <family val="2"/>
      </rPr>
      <t>Antes de acionar um Gestor, acionar o Vinicius(Gestor Tereos).
(11)99014-2049</t>
    </r>
  </si>
  <si>
    <t>Em 2h30</t>
  </si>
  <si>
    <t>BR - Solinftec</t>
  </si>
  <si>
    <t>Suporte Solinftec</t>
  </si>
  <si>
    <t>8.008.002.270</t>
  </si>
  <si>
    <t>Opção 1: SGPA</t>
  </si>
  <si>
    <t>Opção 2: SGIB</t>
  </si>
  <si>
    <r>
      <t>Regra:</t>
    </r>
    <r>
      <rPr>
        <sz val="11"/>
        <color rgb="FFFF0000"/>
        <rFont val="Aptos Narrow"/>
        <family val="2"/>
      </rPr>
      <t xml:space="preserve"> </t>
    </r>
    <r>
      <rPr>
        <sz val="11"/>
        <rFont val="Aptos Narrow"/>
        <family val="2"/>
      </rPr>
      <t>Antes de acionar um Gestor, acionar o Vinicius(Gestor Tereos).
(11)99014-2049</t>
    </r>
  </si>
  <si>
    <t>BR - Autolab</t>
  </si>
  <si>
    <t>Suporte Cast</t>
  </si>
  <si>
    <t>11-3041-8005</t>
  </si>
  <si>
    <t>Active Directory</t>
  </si>
  <si>
    <t>Em 30min</t>
  </si>
  <si>
    <t>TSB - Time Slot Booking</t>
  </si>
  <si>
    <t>Em 2h</t>
  </si>
  <si>
    <t>Nobreak</t>
  </si>
  <si>
    <t>Velocloud</t>
  </si>
  <si>
    <t>Ana Carolina Rodrigues Izaias (Dia 01 a 10)</t>
  </si>
  <si>
    <t>Ana - 17-99764-6559</t>
  </si>
  <si>
    <t>Braz Cardoso Junior (Dia 11 ao 20)</t>
  </si>
  <si>
    <t>Braz - 11 94539-0377</t>
  </si>
  <si>
    <t>Felipe Chianezzi Nascimento(Dia 21 ao 31)</t>
  </si>
  <si>
    <t>Felipe - 17 99194-8081</t>
  </si>
  <si>
    <r>
      <t>Regra:</t>
    </r>
    <r>
      <rPr>
        <sz val="11"/>
        <color rgb="FFFF0000"/>
        <rFont val="Aptos Narrow"/>
        <family val="2"/>
      </rPr>
      <t xml:space="preserve"> </t>
    </r>
    <r>
      <rPr>
        <sz val="11"/>
        <rFont val="Aptos Narrow"/>
        <family val="2"/>
      </rPr>
      <t>Antes de acionar um Gestor, acionar o Vinicius(Gestor Tereos).</t>
    </r>
    <r>
      <rPr>
        <b/>
        <sz val="11"/>
        <rFont val="Aptos Narrow"/>
        <family val="2"/>
      </rPr>
      <t xml:space="preserve">
(11)99014-2049</t>
    </r>
  </si>
  <si>
    <t>Internet</t>
  </si>
  <si>
    <r>
      <t>Regra:</t>
    </r>
    <r>
      <rPr>
        <sz val="11"/>
        <color rgb="FFFF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Antes de acionar um Gestor, acionar o Vinicius(Gestor Tereos).</t>
    </r>
    <r>
      <rPr>
        <b/>
        <sz val="11"/>
        <color rgb="FF000000"/>
        <rFont val="Aptos Narrow"/>
        <family val="2"/>
      </rPr>
      <t xml:space="preserve">
(11)99014-2049</t>
    </r>
  </si>
  <si>
    <t>Controller</t>
  </si>
  <si>
    <t>Para correto acionamento, consultar escala do dia através do link a seguir:</t>
  </si>
  <si>
    <t>Escala Geral Sobre Aviso - Jan a Jan</t>
  </si>
  <si>
    <r>
      <t>Regra:</t>
    </r>
    <r>
      <rPr>
        <sz val="11"/>
        <color rgb="FFFF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Antes de acionar um Gestor, acionar o Vinicius(Gestor Tereos).</t>
    </r>
    <r>
      <rPr>
        <b/>
        <sz val="11"/>
        <rFont val="Aptos Narrow"/>
        <family val="2"/>
      </rPr>
      <t xml:space="preserve">
(11)99014-2049</t>
    </r>
  </si>
  <si>
    <t>Vinicius de Souza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</si>
</sst>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4"/>
      <color rgb="FFFFFFFF"/>
      <name val="Aptos"/>
      <family val="2"/>
    </font>
    <font>
      <b/>
      <sz val="12"/>
      <color rgb="FFFFFFFF"/>
      <name val="Aptos"/>
      <family val="2"/>
    </font>
    <font>
      <sz val="12"/>
      <color rgb="FF000000"/>
      <name val="Aptos"/>
      <family val="2"/>
    </font>
    <font>
      <sz val="12"/>
      <name val="Aptos"/>
      <family val="2"/>
    </font>
    <font>
      <sz val="12"/>
      <name val="Arial"/>
      <family val="2"/>
    </font>
    <font>
      <b/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Aptos Display"/>
      <family val="2"/>
    </font>
    <font>
      <sz val="12"/>
      <color rgb="FF000000"/>
      <name val="Aptos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2"/>
      <color rgb="FF000000"/>
      <name val="Aptos Display"/>
      <family val="2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b/>
      <sz val="14"/>
      <color rgb="FFFFFFFF"/>
      <name val="Aptos Display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</font>
    <font>
      <b/>
      <sz val="11"/>
      <color rgb="FFFF0000"/>
      <name val="Aptos Narrow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sz val="11"/>
      <name val="Aptos Narrow"/>
      <family val="2"/>
    </font>
    <font>
      <sz val="11"/>
      <color rgb="FF000000"/>
      <name val="Aptos"/>
      <family val="2"/>
    </font>
    <font>
      <sz val="11"/>
      <color rgb="FFFF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CD2D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2">
    <xf numFmtId="0" fontId="0" fillId="0" borderId="0" xfId="0"/>
    <xf numFmtId="0" fontId="3" fillId="3" borderId="7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10" fillId="0" borderId="0" xfId="0" applyFont="1"/>
    <xf numFmtId="0" fontId="1" fillId="4" borderId="1" xfId="0" applyFont="1" applyFill="1" applyBorder="1" applyAlignment="1">
      <alignment horizontal="center" vertical="center" readingOrder="1"/>
    </xf>
    <xf numFmtId="0" fontId="1" fillId="4" borderId="6" xfId="0" applyFont="1" applyFill="1" applyBorder="1" applyAlignment="1">
      <alignment horizontal="center" vertical="center" readingOrder="1"/>
    </xf>
    <xf numFmtId="0" fontId="2" fillId="4" borderId="6" xfId="0" applyFont="1" applyFill="1" applyBorder="1" applyAlignment="1">
      <alignment horizontal="center" vertical="center" readingOrder="1"/>
    </xf>
    <xf numFmtId="0" fontId="8" fillId="4" borderId="6" xfId="0" applyFont="1" applyFill="1" applyBorder="1" applyAlignment="1">
      <alignment horizontal="center" vertical="center" readingOrder="1"/>
    </xf>
    <xf numFmtId="0" fontId="12" fillId="3" borderId="7" xfId="0" applyFont="1" applyFill="1" applyBorder="1" applyAlignment="1">
      <alignment horizontal="center" vertical="center" wrapText="1" readingOrder="1"/>
    </xf>
    <xf numFmtId="0" fontId="12" fillId="3" borderId="7" xfId="0" applyFont="1" applyFill="1" applyBorder="1" applyAlignment="1">
      <alignment horizontal="center" vertical="center" readingOrder="1"/>
    </xf>
    <xf numFmtId="0" fontId="3" fillId="6" borderId="7" xfId="0" applyFont="1" applyFill="1" applyBorder="1" applyAlignment="1">
      <alignment horizontal="center" vertical="center" readingOrder="1"/>
    </xf>
    <xf numFmtId="0" fontId="12" fillId="3" borderId="5" xfId="0" applyFont="1" applyFill="1" applyBorder="1" applyAlignment="1">
      <alignment horizontal="center" vertical="center" wrapText="1" readingOrder="1"/>
    </xf>
    <xf numFmtId="0" fontId="12" fillId="6" borderId="7" xfId="0" applyFont="1" applyFill="1" applyBorder="1" applyAlignment="1">
      <alignment horizontal="center" vertical="center" wrapText="1" readingOrder="1"/>
    </xf>
    <xf numFmtId="0" fontId="12" fillId="6" borderId="7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3" fillId="6" borderId="7" xfId="0" applyFont="1" applyFill="1" applyBorder="1" applyAlignment="1">
      <alignment horizontal="center" vertical="center" wrapText="1" readingOrder="1"/>
    </xf>
    <xf numFmtId="0" fontId="8" fillId="4" borderId="6" xfId="0" applyFont="1" applyFill="1" applyBorder="1" applyAlignment="1">
      <alignment readingOrder="1"/>
    </xf>
    <xf numFmtId="0" fontId="3" fillId="5" borderId="7" xfId="0" applyFont="1" applyFill="1" applyBorder="1" applyAlignment="1">
      <alignment horizontal="center" vertical="center" readingOrder="1"/>
    </xf>
    <xf numFmtId="0" fontId="3" fillId="5" borderId="7" xfId="0" applyFont="1" applyFill="1" applyBorder="1" applyAlignment="1">
      <alignment horizontal="center" vertical="center" wrapText="1" readingOrder="1"/>
    </xf>
    <xf numFmtId="0" fontId="9" fillId="5" borderId="7" xfId="0" applyFont="1" applyFill="1" applyBorder="1" applyAlignment="1">
      <alignment horizontal="center" vertical="center" wrapText="1" readingOrder="1"/>
    </xf>
    <xf numFmtId="0" fontId="15" fillId="4" borderId="6" xfId="0" applyFont="1" applyFill="1" applyBorder="1" applyAlignment="1">
      <alignment horizontal="center" vertical="center" readingOrder="1"/>
    </xf>
    <xf numFmtId="0" fontId="7" fillId="0" borderId="0" xfId="1" applyFill="1" applyBorder="1" applyAlignme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wrapText="1"/>
    </xf>
    <xf numFmtId="0" fontId="3" fillId="7" borderId="7" xfId="0" applyFont="1" applyFill="1" applyBorder="1" applyAlignment="1">
      <alignment horizontal="center" vertical="center" readingOrder="1"/>
    </xf>
    <xf numFmtId="0" fontId="3" fillId="7" borderId="7" xfId="0" applyFont="1" applyFill="1" applyBorder="1" applyAlignment="1">
      <alignment horizontal="center" vertical="center" wrapText="1" readingOrder="1"/>
    </xf>
    <xf numFmtId="0" fontId="0" fillId="7" borderId="0" xfId="0" applyFill="1"/>
    <xf numFmtId="0" fontId="9" fillId="7" borderId="7" xfId="0" applyFont="1" applyFill="1" applyBorder="1" applyAlignment="1">
      <alignment horizontal="center" vertical="center" wrapText="1" readingOrder="1"/>
    </xf>
    <xf numFmtId="0" fontId="3" fillId="7" borderId="5" xfId="0" applyFont="1" applyFill="1" applyBorder="1" applyAlignment="1">
      <alignment horizontal="center" vertical="center" wrapText="1" readingOrder="1"/>
    </xf>
    <xf numFmtId="0" fontId="9" fillId="7" borderId="5" xfId="0" applyFont="1" applyFill="1" applyBorder="1" applyAlignment="1">
      <alignment horizontal="center" vertical="center" wrapText="1" readingOrder="1"/>
    </xf>
    <xf numFmtId="0" fontId="13" fillId="0" borderId="0" xfId="0" applyFont="1"/>
    <xf numFmtId="0" fontId="21" fillId="0" borderId="0" xfId="0" applyFont="1" applyAlignment="1">
      <alignment wrapText="1"/>
    </xf>
    <xf numFmtId="0" fontId="10" fillId="8" borderId="0" xfId="0" applyFont="1" applyFill="1"/>
    <xf numFmtId="0" fontId="3" fillId="6" borderId="5" xfId="0" applyFont="1" applyFill="1" applyBorder="1" applyAlignment="1">
      <alignment horizontal="center" vertical="center" readingOrder="1"/>
    </xf>
    <xf numFmtId="0" fontId="3" fillId="8" borderId="7" xfId="0" applyFont="1" applyFill="1" applyBorder="1" applyAlignment="1">
      <alignment horizontal="center" vertical="center" readingOrder="1"/>
    </xf>
    <xf numFmtId="0" fontId="3" fillId="8" borderId="5" xfId="0" applyFont="1" applyFill="1" applyBorder="1" applyAlignment="1">
      <alignment horizontal="center" vertical="center" readingOrder="1"/>
    </xf>
    <xf numFmtId="0" fontId="3" fillId="8" borderId="7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readingOrder="1"/>
    </xf>
    <xf numFmtId="0" fontId="5" fillId="8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" fillId="3" borderId="13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 readingOrder="1"/>
    </xf>
    <xf numFmtId="0" fontId="3" fillId="3" borderId="15" xfId="0" applyFont="1" applyFill="1" applyBorder="1" applyAlignment="1">
      <alignment horizontal="center" vertical="center" readingOrder="1"/>
    </xf>
    <xf numFmtId="0" fontId="23" fillId="3" borderId="13" xfId="0" applyFont="1" applyFill="1" applyBorder="1" applyAlignment="1">
      <alignment horizontal="center" vertical="center" wrapText="1" readingOrder="1"/>
    </xf>
    <xf numFmtId="0" fontId="23" fillId="3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readingOrder="1"/>
    </xf>
    <xf numFmtId="0" fontId="12" fillId="8" borderId="5" xfId="0" applyFont="1" applyFill="1" applyBorder="1" applyAlignment="1">
      <alignment horizontal="center" vertical="center" wrapText="1" readingOrder="1"/>
    </xf>
    <xf numFmtId="0" fontId="12" fillId="3" borderId="13" xfId="0" applyFont="1" applyFill="1" applyBorder="1" applyAlignment="1">
      <alignment horizontal="center" vertical="center" wrapText="1" readingOrder="1"/>
    </xf>
    <xf numFmtId="0" fontId="7" fillId="0" borderId="0" xfId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3" fillId="6" borderId="13" xfId="0" applyFont="1" applyFill="1" applyBorder="1" applyAlignment="1">
      <alignment horizontal="center" vertical="center" readingOrder="1"/>
    </xf>
    <xf numFmtId="0" fontId="3" fillId="6" borderId="15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readingOrder="1"/>
    </xf>
    <xf numFmtId="0" fontId="14" fillId="8" borderId="0" xfId="0" applyFont="1" applyFill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 readingOrder="1"/>
    </xf>
    <xf numFmtId="0" fontId="3" fillId="8" borderId="15" xfId="0" applyFont="1" applyFill="1" applyBorder="1" applyAlignment="1">
      <alignment horizontal="center" vertical="center" readingOrder="1"/>
    </xf>
    <xf numFmtId="0" fontId="12" fillId="8" borderId="13" xfId="0" applyFont="1" applyFill="1" applyBorder="1" applyAlignment="1">
      <alignment horizontal="center" vertical="center" readingOrder="1"/>
    </xf>
    <xf numFmtId="0" fontId="12" fillId="8" borderId="1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readingOrder="1"/>
    </xf>
    <xf numFmtId="0" fontId="10" fillId="0" borderId="14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center" vertical="center" readingOrder="1"/>
    </xf>
    <xf numFmtId="0" fontId="13" fillId="2" borderId="4" xfId="0" applyFont="1" applyFill="1" applyBorder="1"/>
    <xf numFmtId="0" fontId="13" fillId="2" borderId="8" xfId="0" applyFont="1" applyFill="1" applyBorder="1"/>
    <xf numFmtId="0" fontId="13" fillId="2" borderId="8" xfId="0" applyFont="1" applyFill="1" applyBorder="1" applyAlignment="1">
      <alignment wrapText="1"/>
    </xf>
    <xf numFmtId="0" fontId="10" fillId="0" borderId="9" xfId="0" applyFont="1" applyBorder="1"/>
    <xf numFmtId="0" fontId="10" fillId="0" borderId="10" xfId="0" applyFont="1" applyBorder="1"/>
    <xf numFmtId="0" fontId="7" fillId="0" borderId="10" xfId="1" applyBorder="1" applyAlignment="1"/>
    <xf numFmtId="0" fontId="10" fillId="8" borderId="9" xfId="0" applyFont="1" applyFill="1" applyBorder="1"/>
    <xf numFmtId="0" fontId="10" fillId="8" borderId="10" xfId="0" applyFont="1" applyFill="1" applyBorder="1"/>
    <xf numFmtId="0" fontId="7" fillId="8" borderId="10" xfId="1" applyFill="1" applyBorder="1" applyAlignment="1"/>
    <xf numFmtId="0" fontId="11" fillId="8" borderId="10" xfId="0" applyFont="1" applyFill="1" applyBorder="1"/>
    <xf numFmtId="0" fontId="7" fillId="0" borderId="17" xfId="1" applyBorder="1" applyAlignment="1"/>
    <xf numFmtId="0" fontId="7" fillId="0" borderId="16" xfId="1" applyBorder="1" applyAlignment="1"/>
    <xf numFmtId="0" fontId="3" fillId="6" borderId="3" xfId="0" applyFont="1" applyFill="1" applyBorder="1" applyAlignment="1">
      <alignment horizontal="center" vertical="center" readingOrder="1"/>
    </xf>
    <xf numFmtId="0" fontId="3" fillId="6" borderId="3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readingOrder="1"/>
    </xf>
    <xf numFmtId="0" fontId="6" fillId="5" borderId="18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3" borderId="11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5" borderId="3" xfId="0" applyFont="1" applyFill="1" applyBorder="1" applyAlignment="1">
      <alignment horizontal="center" vertical="center" readingOrder="1"/>
    </xf>
    <xf numFmtId="0" fontId="3" fillId="6" borderId="2" xfId="0" applyFont="1" applyFill="1" applyBorder="1" applyAlignment="1">
      <alignment horizontal="center" vertical="center" readingOrder="1"/>
    </xf>
    <xf numFmtId="0" fontId="12" fillId="6" borderId="3" xfId="0" applyFont="1" applyFill="1" applyBorder="1" applyAlignment="1">
      <alignment horizontal="center" vertical="center" wrapText="1" readingOrder="1"/>
    </xf>
    <xf numFmtId="0" fontId="12" fillId="6" borderId="2" xfId="0" applyFont="1" applyFill="1" applyBorder="1" applyAlignment="1">
      <alignment horizontal="center" vertical="center" wrapText="1" readingOrder="1"/>
    </xf>
    <xf numFmtId="0" fontId="12" fillId="6" borderId="3" xfId="0" applyFont="1" applyFill="1" applyBorder="1" applyAlignment="1">
      <alignment horizontal="center" vertical="center" readingOrder="1"/>
    </xf>
    <xf numFmtId="0" fontId="12" fillId="6" borderId="2" xfId="0" applyFont="1" applyFill="1" applyBorder="1" applyAlignment="1">
      <alignment horizontal="center" vertical="center" readingOrder="1"/>
    </xf>
    <xf numFmtId="0" fontId="12" fillId="6" borderId="11" xfId="0" applyFont="1" applyFill="1" applyBorder="1" applyAlignment="1">
      <alignment horizontal="center" vertical="center" wrapText="1" readingOrder="1"/>
    </xf>
    <xf numFmtId="0" fontId="6" fillId="5" borderId="0" xfId="0" applyFont="1" applyFill="1" applyAlignment="1">
      <alignment horizontal="center" vertical="center" readingOrder="1"/>
    </xf>
    <xf numFmtId="0" fontId="3" fillId="6" borderId="11" xfId="0" applyFont="1" applyFill="1" applyBorder="1" applyAlignment="1">
      <alignment horizontal="center" vertical="center" readingOrder="1"/>
    </xf>
    <xf numFmtId="0" fontId="12" fillId="6" borderId="11" xfId="0" applyFont="1" applyFill="1" applyBorder="1" applyAlignment="1">
      <alignment horizontal="center" vertical="center" readingOrder="1"/>
    </xf>
    <xf numFmtId="0" fontId="10" fillId="0" borderId="17" xfId="0" applyFont="1" applyBorder="1" applyAlignment="1"/>
    <xf numFmtId="0" fontId="10" fillId="0" borderId="16" xfId="0" applyFont="1" applyBorder="1" applyAlignment="1"/>
    <xf numFmtId="0" fontId="10" fillId="0" borderId="14" xfId="0" applyFont="1" applyBorder="1" applyAlignment="1"/>
    <xf numFmtId="0" fontId="10" fillId="0" borderId="0" xfId="0" applyFont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C5F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len.oliveira@tereos.com" TargetMode="External"/><Relationship Id="rId18" Type="http://schemas.openxmlformats.org/officeDocument/2006/relationships/hyperlink" Target="mailto:adalberto.correa@tereos.com" TargetMode="External"/><Relationship Id="rId26" Type="http://schemas.openxmlformats.org/officeDocument/2006/relationships/hyperlink" Target="mailto:marcelo.franco@tereos.com" TargetMode="External"/><Relationship Id="rId3" Type="http://schemas.openxmlformats.org/officeDocument/2006/relationships/hyperlink" Target="mailto:rafael.bertoco@tereos.com" TargetMode="External"/><Relationship Id="rId21" Type="http://schemas.openxmlformats.org/officeDocument/2006/relationships/hyperlink" Target="mailto:felipe.chianezzi@tereos.com" TargetMode="External"/><Relationship Id="rId34" Type="http://schemas.openxmlformats.org/officeDocument/2006/relationships/hyperlink" Target="mailto:felipe.ferri-external@tereos.com" TargetMode="External"/><Relationship Id="rId7" Type="http://schemas.openxmlformats.org/officeDocument/2006/relationships/hyperlink" Target="mailto:luiz.santana@tereos.com" TargetMode="External"/><Relationship Id="rId12" Type="http://schemas.openxmlformats.org/officeDocument/2006/relationships/hyperlink" Target="mailto:rodrigo.sandrin@tereos.com" TargetMode="External"/><Relationship Id="rId17" Type="http://schemas.openxmlformats.org/officeDocument/2006/relationships/hyperlink" Target="mailto:cesario.oliveira@tereos.com" TargetMode="External"/><Relationship Id="rId25" Type="http://schemas.openxmlformats.org/officeDocument/2006/relationships/hyperlink" Target="mailto:vinicius.silva-external@tereos.com" TargetMode="External"/><Relationship Id="rId33" Type="http://schemas.openxmlformats.org/officeDocument/2006/relationships/hyperlink" Target="mailto:igor.ferreira-external1@tereos.com" TargetMode="External"/><Relationship Id="rId2" Type="http://schemas.openxmlformats.org/officeDocument/2006/relationships/hyperlink" Target="mailto:andrea.lima@tereos.com" TargetMode="External"/><Relationship Id="rId16" Type="http://schemas.openxmlformats.org/officeDocument/2006/relationships/hyperlink" Target="mailto:jonas.sanches@tereos.com" TargetMode="External"/><Relationship Id="rId20" Type="http://schemas.openxmlformats.org/officeDocument/2006/relationships/hyperlink" Target="mailto:braz.cardoso@tereos.com" TargetMode="External"/><Relationship Id="rId29" Type="http://schemas.openxmlformats.org/officeDocument/2006/relationships/hyperlink" Target="mailto:felipe.mortati-external@tereos.com" TargetMode="External"/><Relationship Id="rId1" Type="http://schemas.openxmlformats.org/officeDocument/2006/relationships/hyperlink" Target="mailto:felix.silva@tereos.com" TargetMode="External"/><Relationship Id="rId6" Type="http://schemas.openxmlformats.org/officeDocument/2006/relationships/hyperlink" Target="mailto:luis.lacerda@tereos.com" TargetMode="External"/><Relationship Id="rId11" Type="http://schemas.openxmlformats.org/officeDocument/2006/relationships/hyperlink" Target="mailto:ygor.pereira@tereos.com" TargetMode="External"/><Relationship Id="rId24" Type="http://schemas.openxmlformats.org/officeDocument/2006/relationships/hyperlink" Target="mailto:lucas.santos5@tereos.com" TargetMode="External"/><Relationship Id="rId32" Type="http://schemas.openxmlformats.org/officeDocument/2006/relationships/hyperlink" Target="mailto:lucas.quiozini-external@tereos.com" TargetMode="External"/><Relationship Id="rId5" Type="http://schemas.openxmlformats.org/officeDocument/2006/relationships/hyperlink" Target="mailto:diego.duarte@tereos.com" TargetMode="External"/><Relationship Id="rId15" Type="http://schemas.openxmlformats.org/officeDocument/2006/relationships/hyperlink" Target="mailto:daniel.keller@tereos.com" TargetMode="External"/><Relationship Id="rId23" Type="http://schemas.openxmlformats.org/officeDocument/2006/relationships/hyperlink" Target="mailto:lucas.lourencao@tereos.com" TargetMode="External"/><Relationship Id="rId28" Type="http://schemas.openxmlformats.org/officeDocument/2006/relationships/hyperlink" Target="mailto:luciano.souza@tereos.com" TargetMode="External"/><Relationship Id="rId10" Type="http://schemas.openxmlformats.org/officeDocument/2006/relationships/hyperlink" Target="mailto:andre.galvao@tereos.com" TargetMode="External"/><Relationship Id="rId19" Type="http://schemas.openxmlformats.org/officeDocument/2006/relationships/hyperlink" Target="mailto:tiago.claudiano@tereos.com" TargetMode="External"/><Relationship Id="rId31" Type="http://schemas.openxmlformats.org/officeDocument/2006/relationships/hyperlink" Target="mailto:alessandro.wendland-external@tereos.com" TargetMode="External"/><Relationship Id="rId4" Type="http://schemas.openxmlformats.org/officeDocument/2006/relationships/hyperlink" Target="mailto:thales.fossalussa@tereos.com" TargetMode="External"/><Relationship Id="rId9" Type="http://schemas.openxmlformats.org/officeDocument/2006/relationships/hyperlink" Target="mailto:rodrigo.audi@tereos.com" TargetMode="External"/><Relationship Id="rId14" Type="http://schemas.openxmlformats.org/officeDocument/2006/relationships/hyperlink" Target="mailto:caio.albuquerque@tereos.com" TargetMode="External"/><Relationship Id="rId22" Type="http://schemas.openxmlformats.org/officeDocument/2006/relationships/hyperlink" Target="mailto:ana.izaias@tereos.com" TargetMode="External"/><Relationship Id="rId27" Type="http://schemas.openxmlformats.org/officeDocument/2006/relationships/hyperlink" Target="mailto:jota.sousa@tereos.com" TargetMode="External"/><Relationship Id="rId30" Type="http://schemas.openxmlformats.org/officeDocument/2006/relationships/hyperlink" Target="mailto:rafaela.toder-external@tereos.com" TargetMode="External"/><Relationship Id="rId8" Type="http://schemas.openxmlformats.org/officeDocument/2006/relationships/hyperlink" Target="mailto:rubens.correa@tereos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tereos.sharepoint.com/:x:/r/sites/EABR-EndUser2/Documents%20partages/Service%20Desk%20e%20Field%20Services/Fields/Escala%20Geral%20Sobre%20Aviso%20-%20Jan%20a%20Jan.xlsx?d=w6646f4fff56d4c519216174dd32e0500&amp;csf=1&amp;web=1&amp;e=DaHGy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6B8-A35E-42C5-87CC-8296A6EB0B58}">
  <dimension ref="A1:F40"/>
  <sheetViews>
    <sheetView tabSelected="1" workbookViewId="0">
      <selection activeCell="A39" sqref="A39"/>
    </sheetView>
  </sheetViews>
  <sheetFormatPr defaultRowHeight="15"/>
  <cols>
    <col min="1" max="1" width="41.140625" bestFit="1" customWidth="1"/>
    <col min="2" max="2" width="34.140625" bestFit="1" customWidth="1"/>
    <col min="3" max="3" width="18" bestFit="1" customWidth="1"/>
    <col min="4" max="4" width="39.5703125" bestFit="1" customWidth="1"/>
    <col min="6" max="6" width="43.85546875" customWidth="1"/>
  </cols>
  <sheetData>
    <row r="1" spans="1:6" ht="29.25">
      <c r="A1" s="75" t="s">
        <v>0</v>
      </c>
      <c r="B1" s="76" t="s">
        <v>1</v>
      </c>
      <c r="C1" s="77" t="s">
        <v>2</v>
      </c>
      <c r="D1" s="76" t="s">
        <v>3</v>
      </c>
    </row>
    <row r="2" spans="1:6">
      <c r="A2" s="78" t="s">
        <v>4</v>
      </c>
      <c r="B2" s="79" t="s">
        <v>5</v>
      </c>
      <c r="C2" s="79" t="s">
        <v>6</v>
      </c>
      <c r="D2" s="80" t="s">
        <v>7</v>
      </c>
    </row>
    <row r="3" spans="1:6" ht="43.5">
      <c r="A3" s="108" t="s">
        <v>4</v>
      </c>
      <c r="B3" s="108" t="s">
        <v>8</v>
      </c>
      <c r="C3" s="108" t="s">
        <v>9</v>
      </c>
      <c r="D3" s="85" t="s">
        <v>10</v>
      </c>
      <c r="F3" s="26" t="s">
        <v>11</v>
      </c>
    </row>
    <row r="4" spans="1:6">
      <c r="A4" s="109"/>
      <c r="B4" s="109"/>
      <c r="C4" s="109"/>
      <c r="D4" s="86"/>
    </row>
    <row r="5" spans="1:6">
      <c r="A5" s="78" t="s">
        <v>4</v>
      </c>
      <c r="B5" s="79" t="s">
        <v>12</v>
      </c>
      <c r="C5" s="79" t="s">
        <v>13</v>
      </c>
      <c r="D5" s="80" t="s">
        <v>14</v>
      </c>
    </row>
    <row r="6" spans="1:6">
      <c r="A6" s="78" t="s">
        <v>4</v>
      </c>
      <c r="B6" s="79" t="s">
        <v>15</v>
      </c>
      <c r="C6" s="79" t="s">
        <v>16</v>
      </c>
      <c r="D6" s="80" t="s">
        <v>17</v>
      </c>
    </row>
    <row r="7" spans="1:6">
      <c r="A7" s="78" t="s">
        <v>4</v>
      </c>
      <c r="B7" s="79" t="s">
        <v>18</v>
      </c>
      <c r="C7" s="79" t="s">
        <v>19</v>
      </c>
      <c r="D7" s="80" t="s">
        <v>20</v>
      </c>
    </row>
    <row r="8" spans="1:6">
      <c r="A8" s="78" t="s">
        <v>4</v>
      </c>
      <c r="B8" s="79" t="s">
        <v>21</v>
      </c>
      <c r="C8" s="79" t="s">
        <v>22</v>
      </c>
      <c r="D8" s="80" t="s">
        <v>23</v>
      </c>
    </row>
    <row r="9" spans="1:6">
      <c r="A9" s="78" t="s">
        <v>4</v>
      </c>
      <c r="B9" s="79" t="s">
        <v>24</v>
      </c>
      <c r="C9" s="79" t="s">
        <v>25</v>
      </c>
      <c r="D9" s="80" t="s">
        <v>26</v>
      </c>
    </row>
    <row r="10" spans="1:6">
      <c r="A10" s="78" t="s">
        <v>4</v>
      </c>
      <c r="B10" s="79" t="s">
        <v>27</v>
      </c>
      <c r="C10" s="79" t="s">
        <v>28</v>
      </c>
      <c r="D10" s="80" t="s">
        <v>29</v>
      </c>
    </row>
    <row r="11" spans="1:6">
      <c r="A11" s="81" t="s">
        <v>4</v>
      </c>
      <c r="B11" s="82" t="s">
        <v>30</v>
      </c>
      <c r="C11" s="82" t="s">
        <v>31</v>
      </c>
      <c r="D11" s="83" t="s">
        <v>32</v>
      </c>
    </row>
    <row r="12" spans="1:6">
      <c r="A12" s="78" t="s">
        <v>33</v>
      </c>
      <c r="B12" s="79" t="s">
        <v>34</v>
      </c>
      <c r="C12" s="79" t="s">
        <v>35</v>
      </c>
      <c r="D12" s="80" t="s">
        <v>36</v>
      </c>
    </row>
    <row r="13" spans="1:6">
      <c r="A13" s="78" t="s">
        <v>33</v>
      </c>
      <c r="B13" s="79" t="s">
        <v>37</v>
      </c>
      <c r="C13" s="79" t="s">
        <v>38</v>
      </c>
      <c r="D13" s="80" t="s">
        <v>39</v>
      </c>
    </row>
    <row r="14" spans="1:6">
      <c r="A14" s="81" t="s">
        <v>40</v>
      </c>
      <c r="B14" s="82" t="s">
        <v>41</v>
      </c>
      <c r="C14" s="82" t="s">
        <v>42</v>
      </c>
      <c r="D14" s="83" t="s">
        <v>43</v>
      </c>
    </row>
    <row r="15" spans="1:6">
      <c r="A15" s="81" t="s">
        <v>44</v>
      </c>
      <c r="B15" s="82" t="s">
        <v>45</v>
      </c>
      <c r="C15" s="82" t="s">
        <v>46</v>
      </c>
      <c r="D15" s="83" t="s">
        <v>47</v>
      </c>
    </row>
    <row r="16" spans="1:6">
      <c r="A16" s="81" t="s">
        <v>48</v>
      </c>
      <c r="B16" s="82" t="s">
        <v>49</v>
      </c>
      <c r="C16" s="82" t="s">
        <v>50</v>
      </c>
      <c r="D16" s="83" t="s">
        <v>51</v>
      </c>
    </row>
    <row r="17" spans="1:4">
      <c r="A17" s="81" t="s">
        <v>52</v>
      </c>
      <c r="B17" s="82" t="s">
        <v>53</v>
      </c>
      <c r="C17" s="82" t="s">
        <v>54</v>
      </c>
      <c r="D17" s="83" t="s">
        <v>55</v>
      </c>
    </row>
    <row r="18" spans="1:4">
      <c r="A18" s="78" t="s">
        <v>56</v>
      </c>
      <c r="B18" s="79" t="s">
        <v>57</v>
      </c>
      <c r="C18" s="79" t="s">
        <v>58</v>
      </c>
      <c r="D18" s="80" t="s">
        <v>59</v>
      </c>
    </row>
    <row r="19" spans="1:4">
      <c r="A19" s="81" t="s">
        <v>56</v>
      </c>
      <c r="B19" s="82" t="s">
        <v>60</v>
      </c>
      <c r="C19" s="82" t="s">
        <v>61</v>
      </c>
      <c r="D19" s="83" t="s">
        <v>62</v>
      </c>
    </row>
    <row r="20" spans="1:4">
      <c r="A20" s="78" t="s">
        <v>56</v>
      </c>
      <c r="B20" s="79" t="s">
        <v>63</v>
      </c>
      <c r="C20" s="79" t="s">
        <v>64</v>
      </c>
      <c r="D20" s="80" t="s">
        <v>65</v>
      </c>
    </row>
    <row r="21" spans="1:4">
      <c r="A21" s="78" t="s">
        <v>56</v>
      </c>
      <c r="B21" s="79" t="s">
        <v>66</v>
      </c>
      <c r="C21" s="79" t="s">
        <v>67</v>
      </c>
      <c r="D21" s="80" t="s">
        <v>68</v>
      </c>
    </row>
    <row r="22" spans="1:4">
      <c r="A22" s="78" t="s">
        <v>69</v>
      </c>
      <c r="B22" s="79" t="s">
        <v>70</v>
      </c>
      <c r="C22" s="79" t="s">
        <v>71</v>
      </c>
      <c r="D22" s="80" t="s">
        <v>72</v>
      </c>
    </row>
    <row r="23" spans="1:4">
      <c r="A23" s="78" t="s">
        <v>69</v>
      </c>
      <c r="B23" s="79" t="s">
        <v>73</v>
      </c>
      <c r="C23" s="79" t="s">
        <v>74</v>
      </c>
      <c r="D23" s="80" t="s">
        <v>75</v>
      </c>
    </row>
    <row r="24" spans="1:4">
      <c r="A24" s="78" t="s">
        <v>69</v>
      </c>
      <c r="B24" s="79" t="s">
        <v>76</v>
      </c>
      <c r="C24" s="79" t="s">
        <v>77</v>
      </c>
      <c r="D24" s="80" t="s">
        <v>78</v>
      </c>
    </row>
    <row r="25" spans="1:4">
      <c r="A25" s="78" t="s">
        <v>56</v>
      </c>
      <c r="B25" s="79" t="s">
        <v>79</v>
      </c>
      <c r="C25" s="79" t="s">
        <v>80</v>
      </c>
      <c r="D25" s="80" t="s">
        <v>81</v>
      </c>
    </row>
    <row r="26" spans="1:4">
      <c r="A26" s="78" t="s">
        <v>82</v>
      </c>
      <c r="B26" s="79" t="s">
        <v>83</v>
      </c>
      <c r="C26" s="79" t="s">
        <v>84</v>
      </c>
      <c r="D26" s="80" t="s">
        <v>85</v>
      </c>
    </row>
    <row r="27" spans="1:4">
      <c r="A27" s="81" t="s">
        <v>86</v>
      </c>
      <c r="B27" s="82" t="s">
        <v>87</v>
      </c>
      <c r="C27" s="82" t="s">
        <v>88</v>
      </c>
      <c r="D27" s="84" t="s">
        <v>89</v>
      </c>
    </row>
    <row r="28" spans="1:4">
      <c r="A28" s="78" t="s">
        <v>90</v>
      </c>
      <c r="B28" s="79" t="s">
        <v>91</v>
      </c>
      <c r="C28" s="79" t="s">
        <v>92</v>
      </c>
      <c r="D28" s="80" t="s">
        <v>93</v>
      </c>
    </row>
    <row r="29" spans="1:4">
      <c r="A29" s="81" t="s">
        <v>94</v>
      </c>
      <c r="B29" s="82" t="s">
        <v>95</v>
      </c>
      <c r="C29" s="82" t="s">
        <v>96</v>
      </c>
      <c r="D29" s="83" t="s">
        <v>97</v>
      </c>
    </row>
    <row r="30" spans="1:4">
      <c r="A30" s="81" t="s">
        <v>94</v>
      </c>
      <c r="B30" s="82" t="s">
        <v>98</v>
      </c>
      <c r="C30" s="82" t="s">
        <v>99</v>
      </c>
      <c r="D30" s="83" t="s">
        <v>100</v>
      </c>
    </row>
    <row r="31" spans="1:4">
      <c r="A31" s="81" t="s">
        <v>94</v>
      </c>
      <c r="B31" s="82" t="s">
        <v>101</v>
      </c>
      <c r="C31" s="82" t="s">
        <v>102</v>
      </c>
      <c r="D31" s="83" t="s">
        <v>103</v>
      </c>
    </row>
    <row r="32" spans="1:4">
      <c r="A32" s="79" t="s">
        <v>104</v>
      </c>
      <c r="B32" s="79" t="s">
        <v>105</v>
      </c>
      <c r="C32" s="79" t="s">
        <v>106</v>
      </c>
      <c r="D32" s="80" t="s">
        <v>107</v>
      </c>
    </row>
    <row r="33" spans="1:4">
      <c r="A33" s="79" t="s">
        <v>104</v>
      </c>
      <c r="B33" s="79" t="s">
        <v>108</v>
      </c>
      <c r="C33" s="79" t="s">
        <v>109</v>
      </c>
      <c r="D33" s="80" t="s">
        <v>110</v>
      </c>
    </row>
    <row r="34" spans="1:4">
      <c r="A34" s="79" t="s">
        <v>104</v>
      </c>
      <c r="B34" s="79" t="s">
        <v>111</v>
      </c>
      <c r="C34" s="79" t="s">
        <v>112</v>
      </c>
      <c r="D34" s="80" t="s">
        <v>113</v>
      </c>
    </row>
    <row r="35" spans="1:4">
      <c r="A35" s="79" t="s">
        <v>104</v>
      </c>
      <c r="B35" s="79" t="s">
        <v>114</v>
      </c>
      <c r="C35" s="79" t="s">
        <v>115</v>
      </c>
      <c r="D35" s="80" t="s">
        <v>116</v>
      </c>
    </row>
    <row r="36" spans="1:4">
      <c r="A36" s="79" t="s">
        <v>104</v>
      </c>
      <c r="B36" s="79" t="s">
        <v>117</v>
      </c>
      <c r="C36" s="79" t="s">
        <v>118</v>
      </c>
      <c r="D36" s="80" t="s">
        <v>119</v>
      </c>
    </row>
    <row r="37" spans="1:4">
      <c r="A37" s="79" t="s">
        <v>104</v>
      </c>
      <c r="B37" s="79" t="s">
        <v>120</v>
      </c>
      <c r="C37" s="79" t="s">
        <v>121</v>
      </c>
      <c r="D37" s="80" t="s">
        <v>122</v>
      </c>
    </row>
    <row r="38" spans="1:4">
      <c r="A38" s="5"/>
      <c r="B38" s="5"/>
      <c r="C38" s="5"/>
      <c r="D38" s="5"/>
    </row>
    <row r="39" spans="1:4">
      <c r="A39" s="35"/>
      <c r="B39" s="5"/>
      <c r="C39" s="5"/>
      <c r="D39" s="5"/>
    </row>
    <row r="40" spans="1:4" ht="15.75">
      <c r="A40" s="25" t="s">
        <v>123</v>
      </c>
      <c r="B40" s="5"/>
      <c r="C40" s="5"/>
      <c r="D40" s="5"/>
    </row>
  </sheetData>
  <mergeCells count="4">
    <mergeCell ref="A3:A4"/>
    <mergeCell ref="B3:B4"/>
    <mergeCell ref="C3:C4"/>
    <mergeCell ref="D3:D4"/>
  </mergeCells>
  <hyperlinks>
    <hyperlink ref="D2" r:id="rId1" xr:uid="{97B46DBB-7481-45BB-A669-C364075EA45B}"/>
    <hyperlink ref="D3" r:id="rId2" xr:uid="{CA2FCE14-6785-4E24-AEEC-E0C02B1E3F32}"/>
    <hyperlink ref="D5" r:id="rId3" xr:uid="{04F8F69E-FE64-4B6E-A48D-0ACD66D48E17}"/>
    <hyperlink ref="D6" r:id="rId4" xr:uid="{0B41E26D-81BB-435E-B0AA-A0332EF5BEC9}"/>
    <hyperlink ref="D7" r:id="rId5" xr:uid="{DA6024DC-5C97-4C40-99D9-52104CBDF122}"/>
    <hyperlink ref="D8" r:id="rId6" xr:uid="{A9E95BC6-BCD6-4926-B35A-947460D8213F}"/>
    <hyperlink ref="D9" r:id="rId7" xr:uid="{05EC1B45-EC6F-47E7-856C-F5F3EF3FA469}"/>
    <hyperlink ref="D10" r:id="rId8" xr:uid="{2A5861AD-E988-45D9-8EF6-67149D413CEE}"/>
    <hyperlink ref="D11" r:id="rId9" xr:uid="{1C4D7C46-7283-43A3-ADA5-84B13DB384EC}"/>
    <hyperlink ref="D12" r:id="rId10" xr:uid="{D34AE245-45A8-4D42-B709-77F9D9811B74}"/>
    <hyperlink ref="D13" r:id="rId11" xr:uid="{C6CD71EB-C4D4-4072-90B0-1CEAEE46823C}"/>
    <hyperlink ref="D14" r:id="rId12" xr:uid="{1E53E921-8160-4695-A154-BAF8AA601302}"/>
    <hyperlink ref="D15" r:id="rId13" xr:uid="{4125AEB7-E90E-4C0B-990F-5D90CBCFE903}"/>
    <hyperlink ref="D16" r:id="rId14" xr:uid="{1F7F4F6F-6962-4085-B0A9-BADC0E8AE0A8}"/>
    <hyperlink ref="D17" r:id="rId15" xr:uid="{8EAADE85-D01D-4B45-866D-BB287CE12848}"/>
    <hyperlink ref="D18" r:id="rId16" xr:uid="{572C582F-C5EB-452F-983D-D21DE53336AF}"/>
    <hyperlink ref="D19" r:id="rId17" xr:uid="{5B865594-F8D5-4118-A7EC-A04A1847B8F9}"/>
    <hyperlink ref="D20" r:id="rId18" xr:uid="{C019E7C4-E8B4-4767-B976-13ED9EB30563}"/>
    <hyperlink ref="D21" r:id="rId19" xr:uid="{CF154B48-1E19-4912-9A24-2A8907BB1357}"/>
    <hyperlink ref="D22" r:id="rId20" xr:uid="{AD81F496-1F47-4E8B-AA8C-6EF52BECDEA4}"/>
    <hyperlink ref="D23" r:id="rId21" xr:uid="{5ACADFDD-A74A-495E-8119-87DD9F6C02E0}"/>
    <hyperlink ref="D24" r:id="rId22" xr:uid="{8AB4E9B4-47F2-4A04-B4F8-7B8222ABBB2F}"/>
    <hyperlink ref="D25" r:id="rId23" xr:uid="{1055C94C-5B22-4AED-968D-1A91D0923ECF}"/>
    <hyperlink ref="D26" r:id="rId24" xr:uid="{84E394F1-F861-4576-BED2-61FBAED58739}"/>
    <hyperlink ref="D28" r:id="rId25" xr:uid="{3E619545-8306-4229-8328-022A3C40BFA1}"/>
    <hyperlink ref="D29" r:id="rId26" xr:uid="{B00B1259-64CD-4A55-B50C-4E1FFBC92F44}"/>
    <hyperlink ref="D30" r:id="rId27" xr:uid="{91187F0F-13D2-4C43-9E66-FC557A66FD1B}"/>
    <hyperlink ref="D31" r:id="rId28" xr:uid="{AC3E0453-19BC-4B33-9C2C-982C7FFE2106}"/>
    <hyperlink ref="D32" r:id="rId29" xr:uid="{D22B7CE0-FCD9-4108-9F75-A2BE3AB38542}"/>
    <hyperlink ref="D33" r:id="rId30" xr:uid="{8858ED40-C608-4601-AE08-7F9BD9A28CBF}"/>
    <hyperlink ref="D34" r:id="rId31" xr:uid="{0DEB7240-61BD-4621-8C90-8BBF86963BAA}"/>
    <hyperlink ref="D35" r:id="rId32" xr:uid="{001ADC7D-7FA8-4AC0-BA06-C1F15629EFEC}"/>
    <hyperlink ref="D36" r:id="rId33" xr:uid="{C9448902-92EC-4702-8E78-91C15859D648}"/>
    <hyperlink ref="D37" r:id="rId34" xr:uid="{C163AF00-301D-46F4-88E9-30850943E52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0FE7-7084-4C4F-9F1B-CA96AABDFFF0}">
  <dimension ref="A1:H10"/>
  <sheetViews>
    <sheetView workbookViewId="0">
      <selection activeCell="C7" sqref="C7"/>
    </sheetView>
  </sheetViews>
  <sheetFormatPr defaultRowHeight="15"/>
  <cols>
    <col min="1" max="1" width="12.5703125" bestFit="1" customWidth="1"/>
    <col min="2" max="2" width="9.140625" bestFit="1" customWidth="1"/>
    <col min="3" max="3" width="44" bestFit="1" customWidth="1"/>
    <col min="4" max="4" width="16.42578125" bestFit="1" customWidth="1"/>
    <col min="5" max="5" width="26.42578125" bestFit="1" customWidth="1"/>
    <col min="6" max="6" width="19.5703125" bestFit="1" customWidth="1"/>
    <col min="7" max="7" width="19.5703125" customWidth="1"/>
    <col min="8" max="8" width="45.42578125" customWidth="1"/>
  </cols>
  <sheetData>
    <row r="1" spans="1:8" ht="18.75">
      <c r="A1" s="6" t="s">
        <v>124</v>
      </c>
      <c r="B1" s="8" t="s">
        <v>125</v>
      </c>
      <c r="C1" s="8" t="s">
        <v>126</v>
      </c>
      <c r="D1" s="8" t="s">
        <v>127</v>
      </c>
      <c r="E1" s="8" t="s">
        <v>128</v>
      </c>
      <c r="F1" s="9" t="s">
        <v>129</v>
      </c>
    </row>
    <row r="2" spans="1:8" ht="43.5">
      <c r="A2" s="89" t="s">
        <v>130</v>
      </c>
      <c r="B2" s="87" t="s">
        <v>131</v>
      </c>
      <c r="C2" s="12" t="s">
        <v>132</v>
      </c>
      <c r="D2" s="12" t="s">
        <v>35</v>
      </c>
      <c r="E2" s="88" t="s">
        <v>133</v>
      </c>
      <c r="F2" s="87" t="s">
        <v>134</v>
      </c>
      <c r="H2" s="26" t="s">
        <v>11</v>
      </c>
    </row>
    <row r="3" spans="1:8" ht="15.75">
      <c r="A3" s="89"/>
      <c r="B3" s="87"/>
      <c r="C3" s="36" t="s">
        <v>135</v>
      </c>
      <c r="D3" s="12" t="s">
        <v>38</v>
      </c>
      <c r="E3" s="88"/>
      <c r="F3" s="87"/>
    </row>
    <row r="4" spans="1:8" ht="15.75">
      <c r="A4" s="89"/>
      <c r="B4" s="37" t="s">
        <v>136</v>
      </c>
      <c r="C4" s="38" t="s">
        <v>98</v>
      </c>
      <c r="D4" s="37" t="str">
        <f>VLOOKUP(C4,Contatos!B$2:C$37,2,FALSE)</f>
        <v>17-99787-0087</v>
      </c>
      <c r="E4" s="39" t="s">
        <v>133</v>
      </c>
      <c r="F4" s="37" t="s">
        <v>137</v>
      </c>
    </row>
    <row r="5" spans="1:8" ht="15.75">
      <c r="A5" s="89"/>
      <c r="B5" s="37" t="s">
        <v>138</v>
      </c>
      <c r="C5" s="38" t="s">
        <v>45</v>
      </c>
      <c r="D5" s="37" t="str">
        <f>VLOOKUP(C5,Contatos!B$2:C$37,2,FALSE)</f>
        <v>17-99645-0645</v>
      </c>
      <c r="E5" s="39" t="s">
        <v>133</v>
      </c>
      <c r="F5" s="37" t="s">
        <v>139</v>
      </c>
    </row>
    <row r="6" spans="1:8" ht="15.75">
      <c r="A6" s="89"/>
      <c r="B6" s="37" t="s">
        <v>140</v>
      </c>
      <c r="C6" s="38" t="s">
        <v>49</v>
      </c>
      <c r="D6" s="37" t="str">
        <f>VLOOKUP(C6,Contatos!B$2:C$37,2,FALSE)</f>
        <v>17-99647-7590</v>
      </c>
      <c r="E6" s="39" t="s">
        <v>133</v>
      </c>
      <c r="F6" s="40" t="s">
        <v>141</v>
      </c>
    </row>
    <row r="7" spans="1:8" ht="15.75">
      <c r="A7" s="89"/>
      <c r="B7" s="37" t="s">
        <v>142</v>
      </c>
      <c r="C7" s="38" t="s">
        <v>30</v>
      </c>
      <c r="D7" s="37" t="str">
        <f>VLOOKUP(C7,Contatos!B$2:C$37,2,FALSE)</f>
        <v>17-99683-7757</v>
      </c>
      <c r="E7" s="41" t="s">
        <v>133</v>
      </c>
      <c r="F7" s="40" t="s">
        <v>143</v>
      </c>
    </row>
    <row r="8" spans="1:8">
      <c r="A8" s="5"/>
      <c r="B8" s="5"/>
      <c r="C8" s="5"/>
      <c r="D8" s="5"/>
      <c r="E8" s="5"/>
      <c r="F8" s="5"/>
      <c r="G8" s="5"/>
    </row>
    <row r="9" spans="1:8">
      <c r="A9" s="35" t="s">
        <v>144</v>
      </c>
      <c r="B9" s="5"/>
      <c r="C9" s="5"/>
      <c r="D9" s="5"/>
      <c r="E9" s="5"/>
      <c r="F9" s="5"/>
      <c r="G9" s="5"/>
    </row>
    <row r="10" spans="1:8" ht="15.75">
      <c r="A10" s="25" t="s">
        <v>123</v>
      </c>
      <c r="B10" s="5"/>
      <c r="C10" s="5"/>
      <c r="D10" s="5"/>
      <c r="E10" s="5"/>
      <c r="F10" s="5"/>
      <c r="G10" s="5"/>
    </row>
  </sheetData>
  <mergeCells count="4">
    <mergeCell ref="F2:F3"/>
    <mergeCell ref="E2:E3"/>
    <mergeCell ref="A2:A7"/>
    <mergeCell ref="B2:B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3F1B-79F9-4BCE-B7EA-8EE22D17F342}">
  <dimension ref="A1:H11"/>
  <sheetViews>
    <sheetView workbookViewId="0">
      <selection activeCell="C7" sqref="C7"/>
    </sheetView>
  </sheetViews>
  <sheetFormatPr defaultRowHeight="15"/>
  <cols>
    <col min="1" max="1" width="18.42578125" bestFit="1" customWidth="1"/>
    <col min="2" max="2" width="9.140625" bestFit="1" customWidth="1"/>
    <col min="3" max="3" width="44" bestFit="1" customWidth="1"/>
    <col min="4" max="4" width="16.42578125" bestFit="1" customWidth="1"/>
    <col min="5" max="5" width="18.5703125" bestFit="1" customWidth="1"/>
    <col min="6" max="6" width="19.5703125" bestFit="1" customWidth="1"/>
    <col min="8" max="8" width="51.28515625" customWidth="1"/>
    <col min="9" max="9" width="11" customWidth="1"/>
  </cols>
  <sheetData>
    <row r="1" spans="1:8" ht="18.75">
      <c r="A1" s="6" t="s">
        <v>145</v>
      </c>
      <c r="B1" s="8" t="s">
        <v>125</v>
      </c>
      <c r="C1" s="8" t="s">
        <v>126</v>
      </c>
      <c r="D1" s="8" t="s">
        <v>127</v>
      </c>
      <c r="E1" s="8" t="s">
        <v>128</v>
      </c>
      <c r="F1" s="9" t="s">
        <v>129</v>
      </c>
    </row>
    <row r="2" spans="1:8" ht="43.5">
      <c r="A2" s="89" t="s">
        <v>146</v>
      </c>
      <c r="B2" s="87" t="s">
        <v>131</v>
      </c>
      <c r="C2" s="12" t="s">
        <v>132</v>
      </c>
      <c r="D2" s="12" t="s">
        <v>35</v>
      </c>
      <c r="E2" s="88" t="s">
        <v>133</v>
      </c>
      <c r="F2" s="87" t="s">
        <v>134</v>
      </c>
      <c r="H2" s="26" t="s">
        <v>11</v>
      </c>
    </row>
    <row r="3" spans="1:8" ht="15.75">
      <c r="A3" s="89"/>
      <c r="B3" s="87"/>
      <c r="C3" s="36" t="s">
        <v>135</v>
      </c>
      <c r="D3" s="12" t="s">
        <v>38</v>
      </c>
      <c r="E3" s="88"/>
      <c r="F3" s="87"/>
    </row>
    <row r="4" spans="1:8" ht="30.75">
      <c r="A4" s="89"/>
      <c r="B4" s="37" t="s">
        <v>136</v>
      </c>
      <c r="C4" s="38" t="s">
        <v>98</v>
      </c>
      <c r="D4" s="37" t="str">
        <f>VLOOKUP(C4,Contatos!B$2:C$37,2,FALSE)</f>
        <v>17-99787-0087</v>
      </c>
      <c r="E4" s="39" t="s">
        <v>133</v>
      </c>
      <c r="F4" s="37" t="s">
        <v>137</v>
      </c>
    </row>
    <row r="5" spans="1:8" ht="30.75">
      <c r="A5" s="89"/>
      <c r="B5" s="37" t="s">
        <v>138</v>
      </c>
      <c r="C5" s="38" t="s">
        <v>45</v>
      </c>
      <c r="D5" s="37" t="str">
        <f>VLOOKUP(C5,Contatos!B$2:C$37,2,FALSE)</f>
        <v>17-99645-0645</v>
      </c>
      <c r="E5" s="39" t="s">
        <v>133</v>
      </c>
      <c r="F5" s="37" t="s">
        <v>139</v>
      </c>
    </row>
    <row r="6" spans="1:8" ht="30.75">
      <c r="A6" s="89"/>
      <c r="B6" s="37" t="s">
        <v>140</v>
      </c>
      <c r="C6" s="38" t="s">
        <v>49</v>
      </c>
      <c r="D6" s="37" t="str">
        <f>VLOOKUP(C6,Contatos!B$2:C$37,2,FALSE)</f>
        <v>17-99647-7590</v>
      </c>
      <c r="E6" s="39" t="s">
        <v>133</v>
      </c>
      <c r="F6" s="40" t="s">
        <v>141</v>
      </c>
    </row>
    <row r="7" spans="1:8" ht="30.75">
      <c r="A7" s="89"/>
      <c r="B7" s="37" t="s">
        <v>142</v>
      </c>
      <c r="C7" s="38" t="s">
        <v>30</v>
      </c>
      <c r="D7" s="37" t="str">
        <f>VLOOKUP(C7,Contatos!B$2:C$37,2,FALSE)</f>
        <v>17-99683-7757</v>
      </c>
      <c r="E7" s="41" t="s">
        <v>133</v>
      </c>
      <c r="F7" s="40" t="s">
        <v>143</v>
      </c>
    </row>
    <row r="8" spans="1:8">
      <c r="A8" s="42"/>
      <c r="B8" s="42"/>
      <c r="C8" s="42"/>
      <c r="D8" s="42"/>
      <c r="E8" s="42"/>
      <c r="F8" s="42"/>
    </row>
    <row r="9" spans="1:8">
      <c r="A9" s="43" t="s">
        <v>144</v>
      </c>
      <c r="B9" s="42"/>
      <c r="C9" s="42"/>
      <c r="D9" s="42"/>
      <c r="E9" s="42"/>
      <c r="F9" s="42"/>
    </row>
    <row r="10" spans="1:8" ht="15.75">
      <c r="A10" s="45" t="s">
        <v>123</v>
      </c>
      <c r="B10" s="42"/>
      <c r="C10" s="42"/>
      <c r="D10" s="42"/>
      <c r="E10" s="42"/>
      <c r="F10" s="42"/>
    </row>
    <row r="11" spans="1:8" ht="15.75">
      <c r="A11" s="24"/>
    </row>
  </sheetData>
  <mergeCells count="4">
    <mergeCell ref="F2:F3"/>
    <mergeCell ref="E2:E3"/>
    <mergeCell ref="A2:A7"/>
    <mergeCell ref="B2:B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240E-3A01-453A-A73C-5EEEFD0997B0}">
  <dimension ref="A1:J24"/>
  <sheetViews>
    <sheetView workbookViewId="0">
      <selection activeCell="A22" sqref="A22:A24"/>
    </sheetView>
  </sheetViews>
  <sheetFormatPr defaultRowHeight="15"/>
  <cols>
    <col min="1" max="1" width="32" customWidth="1"/>
    <col min="2" max="2" width="15" customWidth="1"/>
    <col min="3" max="3" width="24.28515625" customWidth="1"/>
    <col min="4" max="4" width="22.42578125" customWidth="1"/>
    <col min="5" max="5" width="16.85546875" customWidth="1"/>
    <col min="6" max="6" width="22.28515625" bestFit="1" customWidth="1"/>
    <col min="10" max="10" width="38.42578125" customWidth="1"/>
  </cols>
  <sheetData>
    <row r="1" spans="1:10" ht="15.75">
      <c r="A1" s="16" t="s">
        <v>147</v>
      </c>
      <c r="B1" s="8" t="s">
        <v>125</v>
      </c>
      <c r="C1" s="8" t="s">
        <v>126</v>
      </c>
      <c r="D1" s="8" t="s">
        <v>127</v>
      </c>
      <c r="E1" s="8" t="s">
        <v>128</v>
      </c>
      <c r="F1" s="9" t="s">
        <v>129</v>
      </c>
    </row>
    <row r="2" spans="1:10" ht="30.75">
      <c r="A2" s="90" t="s">
        <v>148</v>
      </c>
      <c r="B2" s="19" t="s">
        <v>149</v>
      </c>
      <c r="C2" s="19" t="s">
        <v>57</v>
      </c>
      <c r="D2" s="19" t="str">
        <f>VLOOKUP(C2,Contatos!B$2:C$37,2,FALSE)</f>
        <v>17-99663-5164</v>
      </c>
      <c r="E2" s="20" t="s">
        <v>133</v>
      </c>
      <c r="F2" s="21" t="s">
        <v>134</v>
      </c>
    </row>
    <row r="3" spans="1:10" ht="43.5">
      <c r="A3" s="91"/>
      <c r="B3" s="27" t="s">
        <v>136</v>
      </c>
      <c r="C3" s="27" t="s">
        <v>60</v>
      </c>
      <c r="D3" s="28" t="str">
        <f>VLOOKUP(C3,Contatos!B$2:C$37,2,FALSE)</f>
        <v>17-99738-6565</v>
      </c>
      <c r="E3" s="28" t="s">
        <v>133</v>
      </c>
      <c r="F3" s="30" t="s">
        <v>137</v>
      </c>
      <c r="H3" s="29"/>
      <c r="J3" s="26" t="s">
        <v>11</v>
      </c>
    </row>
    <row r="4" spans="1:10" ht="30.75">
      <c r="A4" s="91"/>
      <c r="B4" s="27" t="s">
        <v>138</v>
      </c>
      <c r="C4" s="27" t="s">
        <v>30</v>
      </c>
      <c r="D4" s="28" t="str">
        <f>VLOOKUP(C4,Contatos!B$2:C$37,2,FALSE)</f>
        <v>17-99683-7757</v>
      </c>
      <c r="E4" s="31" t="s">
        <v>133</v>
      </c>
      <c r="F4" s="32" t="s">
        <v>139</v>
      </c>
      <c r="H4" s="24" t="s">
        <v>123</v>
      </c>
    </row>
    <row r="6" spans="1:10" ht="15.75">
      <c r="A6" s="16" t="s">
        <v>147</v>
      </c>
      <c r="B6" s="8" t="s">
        <v>125</v>
      </c>
      <c r="C6" s="8" t="s">
        <v>126</v>
      </c>
      <c r="D6" s="8" t="s">
        <v>127</v>
      </c>
      <c r="E6" s="8" t="s">
        <v>128</v>
      </c>
      <c r="F6" s="9" t="s">
        <v>129</v>
      </c>
    </row>
    <row r="7" spans="1:10" ht="30.75">
      <c r="A7" s="90" t="s">
        <v>150</v>
      </c>
      <c r="B7" s="19" t="s">
        <v>149</v>
      </c>
      <c r="C7" s="19" t="s">
        <v>63</v>
      </c>
      <c r="D7" s="19" t="str">
        <f>VLOOKUP(C7,Contatos!B$2:C$37,2,0)</f>
        <v>17-99772-7052</v>
      </c>
      <c r="E7" s="20" t="s">
        <v>133</v>
      </c>
      <c r="F7" s="21" t="s">
        <v>134</v>
      </c>
    </row>
    <row r="8" spans="1:10" ht="30.75">
      <c r="A8" s="91"/>
      <c r="B8" s="27" t="s">
        <v>136</v>
      </c>
      <c r="C8" s="27" t="s">
        <v>60</v>
      </c>
      <c r="D8" s="28" t="str">
        <f>VLOOKUP(C8,Contatos!B$2:C$37,2,0)</f>
        <v>17-99738-6565</v>
      </c>
      <c r="E8" s="28" t="s">
        <v>133</v>
      </c>
      <c r="F8" s="30" t="s">
        <v>137</v>
      </c>
    </row>
    <row r="9" spans="1:10" ht="30.75">
      <c r="A9" s="91"/>
      <c r="B9" s="27" t="s">
        <v>138</v>
      </c>
      <c r="C9" s="27" t="s">
        <v>30</v>
      </c>
      <c r="D9" s="28" t="str">
        <f>VLOOKUP(C9,Contatos!B$2:C$37,2,0)</f>
        <v>17-99683-7757</v>
      </c>
      <c r="E9" s="31" t="s">
        <v>133</v>
      </c>
      <c r="F9" s="32" t="s">
        <v>139</v>
      </c>
    </row>
    <row r="11" spans="1:10" ht="15.75">
      <c r="A11" s="16" t="s">
        <v>147</v>
      </c>
      <c r="B11" s="8" t="s">
        <v>125</v>
      </c>
      <c r="C11" s="8" t="s">
        <v>126</v>
      </c>
      <c r="D11" s="8" t="s">
        <v>127</v>
      </c>
      <c r="E11" s="8" t="s">
        <v>128</v>
      </c>
      <c r="F11" s="9" t="s">
        <v>129</v>
      </c>
    </row>
    <row r="12" spans="1:10" ht="30.75">
      <c r="A12" s="90" t="s">
        <v>151</v>
      </c>
      <c r="B12" s="19" t="s">
        <v>149</v>
      </c>
      <c r="C12" s="19" t="s">
        <v>66</v>
      </c>
      <c r="D12" s="19" t="str">
        <f>VLOOKUP(C12,Contatos!B$2:C$37,2,FALSE)</f>
        <v>17-99611-0307</v>
      </c>
      <c r="E12" s="21" t="s">
        <v>133</v>
      </c>
      <c r="F12" s="21" t="s">
        <v>134</v>
      </c>
    </row>
    <row r="13" spans="1:10" ht="30.75">
      <c r="A13" s="91"/>
      <c r="B13" s="27" t="s">
        <v>136</v>
      </c>
      <c r="C13" s="27" t="s">
        <v>60</v>
      </c>
      <c r="D13" s="30" t="str">
        <f>VLOOKUP(C13,Contatos!B$2:C$37,2,0)</f>
        <v>17-99738-6565</v>
      </c>
      <c r="E13" s="30" t="s">
        <v>133</v>
      </c>
      <c r="F13" s="30" t="s">
        <v>137</v>
      </c>
    </row>
    <row r="14" spans="1:10" ht="30.75">
      <c r="A14" s="91"/>
      <c r="B14" s="27" t="s">
        <v>138</v>
      </c>
      <c r="C14" s="27" t="s">
        <v>30</v>
      </c>
      <c r="D14" s="30" t="str">
        <f>VLOOKUP(C14,Contatos!B$2:C$37,2,0)</f>
        <v>17-99683-7757</v>
      </c>
      <c r="E14" s="32" t="s">
        <v>133</v>
      </c>
      <c r="F14" s="32" t="s">
        <v>139</v>
      </c>
    </row>
    <row r="16" spans="1:10" ht="15.75">
      <c r="A16" s="16" t="s">
        <v>152</v>
      </c>
      <c r="B16" s="8" t="s">
        <v>125</v>
      </c>
      <c r="C16" s="8" t="s">
        <v>126</v>
      </c>
      <c r="D16" s="8" t="s">
        <v>127</v>
      </c>
      <c r="E16" s="8" t="s">
        <v>128</v>
      </c>
      <c r="F16" s="9" t="s">
        <v>129</v>
      </c>
    </row>
    <row r="17" spans="1:6" ht="30.75">
      <c r="A17" s="90" t="s">
        <v>153</v>
      </c>
      <c r="B17" s="19" t="s">
        <v>149</v>
      </c>
      <c r="C17" s="19" t="s">
        <v>79</v>
      </c>
      <c r="D17" s="19" t="str">
        <f>VLOOKUP(C17,Contatos!B$2:C$37,2,0)</f>
        <v>17-98177-4443</v>
      </c>
      <c r="E17" s="20" t="s">
        <v>133</v>
      </c>
      <c r="F17" s="21" t="s">
        <v>134</v>
      </c>
    </row>
    <row r="18" spans="1:6" ht="30.75">
      <c r="A18" s="91"/>
      <c r="B18" s="27" t="s">
        <v>136</v>
      </c>
      <c r="C18" s="27" t="s">
        <v>60</v>
      </c>
      <c r="D18" s="28" t="str">
        <f>VLOOKUP(C18,Contatos!B$2:C$37,2,0)</f>
        <v>17-99738-6565</v>
      </c>
      <c r="E18" s="28" t="s">
        <v>133</v>
      </c>
      <c r="F18" s="30" t="s">
        <v>137</v>
      </c>
    </row>
    <row r="19" spans="1:6" ht="30.75">
      <c r="A19" s="91"/>
      <c r="B19" s="27" t="s">
        <v>138</v>
      </c>
      <c r="C19" s="27" t="s">
        <v>30</v>
      </c>
      <c r="D19" s="28" t="str">
        <f>VLOOKUP(C19,Contatos!B$2:C$37,2,0)</f>
        <v>17-99683-7757</v>
      </c>
      <c r="E19" s="31" t="s">
        <v>133</v>
      </c>
      <c r="F19" s="32" t="s">
        <v>139</v>
      </c>
    </row>
    <row r="21" spans="1:6" ht="15.75">
      <c r="A21" s="16" t="s">
        <v>147</v>
      </c>
      <c r="B21" s="8" t="s">
        <v>125</v>
      </c>
      <c r="C21" s="8" t="s">
        <v>126</v>
      </c>
      <c r="D21" s="8" t="s">
        <v>127</v>
      </c>
      <c r="E21" s="8" t="s">
        <v>128</v>
      </c>
      <c r="F21" s="9" t="s">
        <v>129</v>
      </c>
    </row>
    <row r="22" spans="1:6" ht="30.75">
      <c r="A22" s="90" t="s">
        <v>154</v>
      </c>
      <c r="B22" s="19" t="s">
        <v>149</v>
      </c>
      <c r="C22" s="19" t="s">
        <v>66</v>
      </c>
      <c r="D22" s="19" t="str">
        <f>VLOOKUP(C22,Contatos!B$2:C$37,2,0)</f>
        <v>17-99611-0307</v>
      </c>
      <c r="E22" s="20" t="s">
        <v>133</v>
      </c>
      <c r="F22" s="21" t="s">
        <v>134</v>
      </c>
    </row>
    <row r="23" spans="1:6" ht="30.75">
      <c r="A23" s="91"/>
      <c r="B23" s="27" t="s">
        <v>136</v>
      </c>
      <c r="C23" s="27" t="s">
        <v>60</v>
      </c>
      <c r="D23" s="28" t="str">
        <f>VLOOKUP(C23,Contatos!B$2:C$37,2,0)</f>
        <v>17-99738-6565</v>
      </c>
      <c r="E23" s="28" t="s">
        <v>133</v>
      </c>
      <c r="F23" s="30" t="s">
        <v>137</v>
      </c>
    </row>
    <row r="24" spans="1:6" ht="39.75" customHeight="1">
      <c r="A24" s="91"/>
      <c r="B24" s="27" t="s">
        <v>138</v>
      </c>
      <c r="C24" s="27" t="s">
        <v>30</v>
      </c>
      <c r="D24" s="28" t="str">
        <f>VLOOKUP(C24,Contatos!B$2:C$37,2,0)</f>
        <v>17-99683-7757</v>
      </c>
      <c r="E24" s="31" t="s">
        <v>133</v>
      </c>
      <c r="F24" s="32" t="s">
        <v>139</v>
      </c>
    </row>
  </sheetData>
  <mergeCells count="5">
    <mergeCell ref="A2:A4"/>
    <mergeCell ref="A7:A9"/>
    <mergeCell ref="A12:A14"/>
    <mergeCell ref="A17:A19"/>
    <mergeCell ref="A22:A2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8977-9909-4714-B7DE-E429005AA32D}">
  <dimension ref="A1:I13"/>
  <sheetViews>
    <sheetView workbookViewId="0">
      <selection activeCell="C8" sqref="C8"/>
    </sheetView>
  </sheetViews>
  <sheetFormatPr defaultRowHeight="15"/>
  <cols>
    <col min="1" max="1" width="26.28515625" bestFit="1" customWidth="1"/>
    <col min="2" max="2" width="9.140625" bestFit="1" customWidth="1"/>
    <col min="3" max="3" width="33.42578125" bestFit="1" customWidth="1"/>
    <col min="4" max="4" width="35.140625" customWidth="1"/>
    <col min="5" max="5" width="16.28515625" customWidth="1"/>
    <col min="6" max="6" width="19.5703125" bestFit="1" customWidth="1"/>
    <col min="7" max="7" width="3.28515625" customWidth="1"/>
    <col min="8" max="8" width="40.140625" customWidth="1"/>
  </cols>
  <sheetData>
    <row r="1" spans="1:9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  <c r="I1" s="5"/>
    </row>
    <row r="2" spans="1:9" ht="43.5">
      <c r="A2" s="89" t="s">
        <v>156</v>
      </c>
      <c r="B2" s="92" t="s">
        <v>149</v>
      </c>
      <c r="C2" s="92" t="s">
        <v>157</v>
      </c>
      <c r="D2" s="46" t="s">
        <v>158</v>
      </c>
      <c r="E2" s="94" t="s">
        <v>133</v>
      </c>
      <c r="F2" s="92" t="s">
        <v>134</v>
      </c>
      <c r="G2" s="42" t="s">
        <v>144</v>
      </c>
      <c r="H2" s="47" t="s">
        <v>159</v>
      </c>
      <c r="I2" s="5"/>
    </row>
    <row r="3" spans="1:9" ht="57.75">
      <c r="A3" s="89"/>
      <c r="B3" s="93"/>
      <c r="C3" s="93"/>
      <c r="D3" s="2" t="s">
        <v>160</v>
      </c>
      <c r="E3" s="95"/>
      <c r="F3" s="93"/>
      <c r="G3" s="42" t="s">
        <v>144</v>
      </c>
      <c r="H3" s="47" t="s">
        <v>161</v>
      </c>
      <c r="I3" s="34"/>
    </row>
    <row r="4" spans="1:9" ht="30.75">
      <c r="A4" s="89"/>
      <c r="B4" s="48" t="s">
        <v>136</v>
      </c>
      <c r="C4" s="46" t="s">
        <v>162</v>
      </c>
      <c r="D4" s="49" t="s">
        <v>163</v>
      </c>
      <c r="E4" s="46" t="s">
        <v>133</v>
      </c>
      <c r="F4" s="48" t="s">
        <v>137</v>
      </c>
      <c r="G4" s="42" t="s">
        <v>144</v>
      </c>
      <c r="H4" s="50"/>
      <c r="I4" s="5"/>
    </row>
    <row r="5" spans="1:9" ht="30.75">
      <c r="A5" s="89"/>
      <c r="B5" s="3" t="s">
        <v>138</v>
      </c>
      <c r="C5" s="3" t="s">
        <v>15</v>
      </c>
      <c r="D5" s="4" t="str">
        <f>VLOOKUP(C5,Contatos!B$2:C$37,2,0)</f>
        <v>17-99706-5355</v>
      </c>
      <c r="E5" s="4" t="s">
        <v>133</v>
      </c>
      <c r="F5" s="3" t="s">
        <v>164</v>
      </c>
      <c r="G5" s="42"/>
      <c r="H5" s="42"/>
      <c r="I5" s="5"/>
    </row>
    <row r="6" spans="1:9" ht="30.75">
      <c r="A6" s="89"/>
      <c r="B6" s="38" t="s">
        <v>140</v>
      </c>
      <c r="C6" s="38" t="s">
        <v>101</v>
      </c>
      <c r="D6" s="51" t="str">
        <f>VLOOKUP(C6,Contatos!B$2:C$37,2,0)</f>
        <v>17-98177-4445</v>
      </c>
      <c r="E6" s="51" t="s">
        <v>133</v>
      </c>
      <c r="F6" s="38" t="s">
        <v>165</v>
      </c>
      <c r="G6" s="42"/>
      <c r="H6" s="42"/>
      <c r="I6" s="5"/>
    </row>
    <row r="7" spans="1:9" ht="30.75">
      <c r="A7" s="89"/>
      <c r="B7" s="38" t="s">
        <v>142</v>
      </c>
      <c r="C7" s="38" t="s">
        <v>49</v>
      </c>
      <c r="D7" s="51" t="str">
        <f>VLOOKUP(C7,Contatos!B$2:C$37,2,0)</f>
        <v>17-99647-7590</v>
      </c>
      <c r="E7" s="51" t="s">
        <v>133</v>
      </c>
      <c r="F7" s="38" t="s">
        <v>141</v>
      </c>
      <c r="G7" s="42"/>
      <c r="H7" s="42"/>
      <c r="I7" s="5"/>
    </row>
    <row r="8" spans="1:9" ht="30.75">
      <c r="A8" s="89"/>
      <c r="B8" s="37" t="s">
        <v>166</v>
      </c>
      <c r="C8" s="38" t="s">
        <v>30</v>
      </c>
      <c r="D8" s="51" t="str">
        <f>VLOOKUP(C8,Contatos!B$2:C$37,2,0)</f>
        <v>17-99683-7757</v>
      </c>
      <c r="E8" s="51" t="s">
        <v>133</v>
      </c>
      <c r="F8" s="38" t="s">
        <v>167</v>
      </c>
      <c r="G8" s="42"/>
      <c r="H8" s="42"/>
      <c r="I8" s="5"/>
    </row>
    <row r="9" spans="1:9">
      <c r="A9" s="42"/>
      <c r="B9" s="42"/>
      <c r="C9" s="42"/>
      <c r="D9" s="42"/>
      <c r="E9" s="42"/>
      <c r="F9" s="42"/>
      <c r="G9" s="42"/>
      <c r="H9" s="42"/>
      <c r="I9" s="5"/>
    </row>
    <row r="10" spans="1:9">
      <c r="A10" s="42"/>
      <c r="B10" s="42"/>
      <c r="C10" s="42"/>
      <c r="D10" s="42"/>
      <c r="E10" s="42"/>
      <c r="F10" s="42"/>
      <c r="G10" s="42"/>
      <c r="H10" s="42"/>
      <c r="I10" s="5"/>
    </row>
    <row r="11" spans="1:9">
      <c r="A11" s="43" t="s">
        <v>144</v>
      </c>
      <c r="B11" s="42"/>
      <c r="C11" s="42"/>
      <c r="D11" s="42"/>
      <c r="E11" s="42"/>
      <c r="F11" s="42"/>
      <c r="G11" s="42"/>
      <c r="H11" s="42"/>
      <c r="I11" s="5"/>
    </row>
    <row r="12" spans="1:9" ht="15.75">
      <c r="A12" s="45" t="s">
        <v>123</v>
      </c>
      <c r="B12" s="42"/>
      <c r="C12" s="42"/>
      <c r="D12" s="42"/>
      <c r="E12" s="42"/>
      <c r="F12" s="42"/>
      <c r="G12" s="42"/>
      <c r="H12" s="42"/>
      <c r="I12" s="5"/>
    </row>
    <row r="13" spans="1:9" ht="15.75">
      <c r="A13" s="25"/>
      <c r="B13" s="5"/>
      <c r="C13" s="5"/>
      <c r="D13" s="5"/>
      <c r="E13" s="5"/>
      <c r="F13" s="5"/>
      <c r="G13" s="5"/>
      <c r="H13" s="5"/>
      <c r="I13" s="5"/>
    </row>
  </sheetData>
  <mergeCells count="5">
    <mergeCell ref="A2:A8"/>
    <mergeCell ref="B2:B3"/>
    <mergeCell ref="C2:C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9495-3F98-4F2A-8BE4-E996805E14B3}">
  <dimension ref="A1:H13"/>
  <sheetViews>
    <sheetView workbookViewId="0">
      <selection activeCell="C9" sqref="C9"/>
    </sheetView>
  </sheetViews>
  <sheetFormatPr defaultRowHeight="15"/>
  <cols>
    <col min="1" max="1" width="35.140625" bestFit="1" customWidth="1"/>
    <col min="2" max="2" width="9.140625" bestFit="1" customWidth="1"/>
    <col min="3" max="3" width="33.42578125" bestFit="1" customWidth="1"/>
    <col min="4" max="4" width="35.140625" customWidth="1"/>
    <col min="5" max="5" width="16.28515625" customWidth="1"/>
    <col min="6" max="6" width="19.5703125" bestFit="1" customWidth="1"/>
    <col min="7" max="7" width="1.5703125" bestFit="1" customWidth="1"/>
    <col min="8" max="8" width="41.140625" customWidth="1"/>
  </cols>
  <sheetData>
    <row r="1" spans="1:8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</row>
    <row r="2" spans="1:8" ht="43.5">
      <c r="A2" s="89" t="s">
        <v>168</v>
      </c>
      <c r="B2" s="92" t="s">
        <v>149</v>
      </c>
      <c r="C2" s="92" t="s">
        <v>157</v>
      </c>
      <c r="D2" s="46" t="s">
        <v>158</v>
      </c>
      <c r="E2" s="94" t="s">
        <v>133</v>
      </c>
      <c r="F2" s="92" t="s">
        <v>134</v>
      </c>
      <c r="G2" s="42" t="s">
        <v>144</v>
      </c>
      <c r="H2" s="47" t="s">
        <v>159</v>
      </c>
    </row>
    <row r="3" spans="1:8" ht="57.75">
      <c r="A3" s="89"/>
      <c r="B3" s="93"/>
      <c r="C3" s="93"/>
      <c r="D3" s="2" t="s">
        <v>160</v>
      </c>
      <c r="E3" s="95"/>
      <c r="F3" s="93"/>
      <c r="G3" s="42" t="s">
        <v>144</v>
      </c>
      <c r="H3" s="47" t="s">
        <v>161</v>
      </c>
    </row>
    <row r="4" spans="1:8" ht="30.75">
      <c r="A4" s="89"/>
      <c r="B4" s="48" t="s">
        <v>136</v>
      </c>
      <c r="C4" s="46" t="s">
        <v>162</v>
      </c>
      <c r="D4" s="49" t="s">
        <v>163</v>
      </c>
      <c r="E4" s="46" t="s">
        <v>133</v>
      </c>
      <c r="F4" s="48" t="s">
        <v>137</v>
      </c>
      <c r="G4" s="42" t="s">
        <v>144</v>
      </c>
      <c r="H4" s="50"/>
    </row>
    <row r="5" spans="1:8" ht="30.75">
      <c r="A5" s="89"/>
      <c r="B5" s="3" t="s">
        <v>138</v>
      </c>
      <c r="C5" s="3" t="s">
        <v>15</v>
      </c>
      <c r="D5" s="4" t="str">
        <f>VLOOKUP(C5,Contatos!B$2:C$37,2,0)</f>
        <v>17-99706-5355</v>
      </c>
      <c r="E5" s="4" t="s">
        <v>133</v>
      </c>
      <c r="F5" s="3" t="s">
        <v>164</v>
      </c>
      <c r="G5" s="42"/>
      <c r="H5" s="42"/>
    </row>
    <row r="6" spans="1:8" ht="30.75">
      <c r="A6" s="89"/>
      <c r="B6" s="38" t="s">
        <v>140</v>
      </c>
      <c r="C6" s="38" t="s">
        <v>101</v>
      </c>
      <c r="D6" s="51" t="str">
        <f>VLOOKUP(C6,Contatos!B$2:C$37,2,0)</f>
        <v>17-98177-4445</v>
      </c>
      <c r="E6" s="51" t="s">
        <v>133</v>
      </c>
      <c r="F6" s="38" t="s">
        <v>165</v>
      </c>
      <c r="G6" s="42"/>
      <c r="H6" s="42"/>
    </row>
    <row r="7" spans="1:8" ht="30.75">
      <c r="A7" s="89"/>
      <c r="B7" s="38" t="s">
        <v>142</v>
      </c>
      <c r="C7" s="38" t="s">
        <v>49</v>
      </c>
      <c r="D7" s="51" t="str">
        <f>VLOOKUP(C7,Contatos!B$2:C$37,2,0)</f>
        <v>17-99647-7590</v>
      </c>
      <c r="E7" s="51" t="s">
        <v>133</v>
      </c>
      <c r="F7" s="38" t="s">
        <v>141</v>
      </c>
      <c r="G7" s="42"/>
      <c r="H7" s="42"/>
    </row>
    <row r="8" spans="1:8" ht="30.75">
      <c r="A8" s="89"/>
      <c r="B8" s="37" t="s">
        <v>166</v>
      </c>
      <c r="C8" s="38" t="s">
        <v>30</v>
      </c>
      <c r="D8" s="51" t="str">
        <f>VLOOKUP(C8,Contatos!B$2:C$37,2,0)</f>
        <v>17-99683-7757</v>
      </c>
      <c r="E8" s="51" t="s">
        <v>133</v>
      </c>
      <c r="F8" s="38" t="s">
        <v>167</v>
      </c>
      <c r="G8" s="42"/>
      <c r="H8" s="42"/>
    </row>
    <row r="9" spans="1:8">
      <c r="A9" s="42"/>
      <c r="B9" s="42"/>
      <c r="C9" s="42"/>
      <c r="D9" s="42"/>
      <c r="E9" s="42"/>
      <c r="F9" s="42"/>
      <c r="G9" s="42"/>
      <c r="H9" s="42"/>
    </row>
    <row r="10" spans="1:8">
      <c r="A10" s="42"/>
      <c r="B10" s="42"/>
      <c r="C10" s="42"/>
      <c r="D10" s="42"/>
      <c r="E10" s="42"/>
      <c r="F10" s="42"/>
      <c r="G10" s="42"/>
      <c r="H10" s="42"/>
    </row>
    <row r="11" spans="1:8">
      <c r="A11" s="43" t="s">
        <v>144</v>
      </c>
      <c r="B11" s="42"/>
      <c r="C11" s="42"/>
      <c r="D11" s="42"/>
      <c r="E11" s="42"/>
      <c r="F11" s="42"/>
      <c r="G11" s="42"/>
      <c r="H11" s="42"/>
    </row>
    <row r="12" spans="1:8" ht="15.75">
      <c r="A12" s="45" t="s">
        <v>123</v>
      </c>
      <c r="B12" s="42"/>
      <c r="C12" s="42"/>
      <c r="D12" s="42"/>
      <c r="E12" s="42"/>
      <c r="F12" s="42"/>
      <c r="G12" s="42"/>
      <c r="H12" s="42"/>
    </row>
    <row r="13" spans="1:8" ht="15.75">
      <c r="A13" s="25"/>
      <c r="B13" s="5"/>
      <c r="C13" s="5"/>
      <c r="D13" s="5"/>
      <c r="E13" s="5"/>
      <c r="F13" s="5"/>
      <c r="G13" s="5"/>
      <c r="H13" s="5"/>
    </row>
  </sheetData>
  <mergeCells count="5">
    <mergeCell ref="A2:A8"/>
    <mergeCell ref="B2:B3"/>
    <mergeCell ref="C2:C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4E7A-64B1-448D-8B0C-92FD87E008C2}">
  <dimension ref="A1:H13"/>
  <sheetViews>
    <sheetView workbookViewId="0">
      <selection activeCell="A11" sqref="A11"/>
    </sheetView>
  </sheetViews>
  <sheetFormatPr defaultRowHeight="15"/>
  <cols>
    <col min="1" max="1" width="15.140625" bestFit="1" customWidth="1"/>
    <col min="2" max="2" width="9.140625" bestFit="1" customWidth="1"/>
    <col min="3" max="3" width="23.7109375" bestFit="1" customWidth="1"/>
    <col min="4" max="4" width="35.140625" customWidth="1"/>
    <col min="5" max="5" width="16.28515625" customWidth="1"/>
    <col min="6" max="6" width="19.5703125" bestFit="1" customWidth="1"/>
    <col min="7" max="7" width="1.5703125" bestFit="1" customWidth="1"/>
    <col min="8" max="8" width="39.7109375" customWidth="1"/>
  </cols>
  <sheetData>
    <row r="1" spans="1:8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</row>
    <row r="2" spans="1:8" ht="43.5">
      <c r="A2" s="89" t="s">
        <v>169</v>
      </c>
      <c r="B2" s="92" t="s">
        <v>149</v>
      </c>
      <c r="C2" s="92" t="s">
        <v>157</v>
      </c>
      <c r="D2" s="46" t="s">
        <v>158</v>
      </c>
      <c r="E2" s="94" t="s">
        <v>133</v>
      </c>
      <c r="F2" s="92" t="s">
        <v>134</v>
      </c>
      <c r="G2" s="96" t="s">
        <v>144</v>
      </c>
      <c r="H2" s="47" t="s">
        <v>170</v>
      </c>
    </row>
    <row r="3" spans="1:8" ht="57.75">
      <c r="A3" s="89"/>
      <c r="B3" s="93"/>
      <c r="C3" s="93"/>
      <c r="D3" s="2" t="s">
        <v>160</v>
      </c>
      <c r="E3" s="95"/>
      <c r="F3" s="93"/>
      <c r="G3" s="96"/>
      <c r="H3" s="47" t="s">
        <v>171</v>
      </c>
    </row>
    <row r="4" spans="1:8" ht="30.75">
      <c r="A4" s="89"/>
      <c r="B4" s="48" t="s">
        <v>136</v>
      </c>
      <c r="C4" s="46" t="s">
        <v>162</v>
      </c>
      <c r="D4" s="49" t="s">
        <v>163</v>
      </c>
      <c r="E4" s="46" t="s">
        <v>133</v>
      </c>
      <c r="F4" s="48" t="s">
        <v>137</v>
      </c>
      <c r="G4" s="42" t="s">
        <v>144</v>
      </c>
      <c r="H4" s="47"/>
    </row>
    <row r="5" spans="1:8" ht="30.75">
      <c r="A5" s="89"/>
      <c r="B5" s="3" t="s">
        <v>138</v>
      </c>
      <c r="C5" s="3" t="s">
        <v>24</v>
      </c>
      <c r="D5" s="4" t="str">
        <f>VLOOKUP(C5,Contatos!B$2:C$37,2,0)</f>
        <v>17-99784-2844</v>
      </c>
      <c r="E5" s="4" t="s">
        <v>133</v>
      </c>
      <c r="F5" s="3" t="s">
        <v>164</v>
      </c>
      <c r="G5" s="42"/>
      <c r="H5" s="42"/>
    </row>
    <row r="6" spans="1:8" ht="30.75">
      <c r="A6" s="89"/>
      <c r="B6" s="38" t="s">
        <v>140</v>
      </c>
      <c r="C6" s="38" t="s">
        <v>172</v>
      </c>
      <c r="D6" s="51" t="str">
        <f>VLOOKUP(C6,Contatos!B$2:C$37,2,0)</f>
        <v>17-98177-4445</v>
      </c>
      <c r="E6" s="51" t="s">
        <v>133</v>
      </c>
      <c r="F6" s="38" t="s">
        <v>165</v>
      </c>
      <c r="G6" s="42"/>
      <c r="H6" s="42"/>
    </row>
    <row r="7" spans="1:8" ht="30.75">
      <c r="A7" s="89"/>
      <c r="B7" s="38" t="s">
        <v>142</v>
      </c>
      <c r="C7" s="38" t="s">
        <v>49</v>
      </c>
      <c r="D7" s="51" t="str">
        <f>VLOOKUP(C7,Contatos!B$2:C$37,2,0)</f>
        <v>17-99647-7590</v>
      </c>
      <c r="E7" s="51" t="s">
        <v>133</v>
      </c>
      <c r="F7" s="38" t="s">
        <v>141</v>
      </c>
      <c r="G7" s="42"/>
      <c r="H7" s="42"/>
    </row>
    <row r="8" spans="1:8" ht="30.75">
      <c r="A8" s="89"/>
      <c r="B8" s="38" t="s">
        <v>166</v>
      </c>
      <c r="C8" s="38" t="s">
        <v>30</v>
      </c>
      <c r="D8" s="51" t="str">
        <f>VLOOKUP(C8,Contatos!B$2:C$37,2,0)</f>
        <v>17-99683-7757</v>
      </c>
      <c r="E8" s="51" t="s">
        <v>133</v>
      </c>
      <c r="F8" s="38" t="s">
        <v>167</v>
      </c>
      <c r="G8" s="42"/>
      <c r="H8" s="42"/>
    </row>
    <row r="9" spans="1:8">
      <c r="A9" s="42"/>
      <c r="B9" s="42"/>
      <c r="C9" s="42"/>
      <c r="D9" s="42"/>
      <c r="E9" s="42"/>
      <c r="F9" s="42"/>
      <c r="G9" s="42"/>
      <c r="H9" s="42"/>
    </row>
    <row r="10" spans="1:8">
      <c r="A10" s="42"/>
      <c r="B10" s="42"/>
      <c r="C10" s="42"/>
      <c r="D10" s="42"/>
      <c r="E10" s="42"/>
      <c r="F10" s="42"/>
      <c r="G10" s="42"/>
      <c r="H10" s="42"/>
    </row>
    <row r="11" spans="1:8">
      <c r="A11" s="43" t="s">
        <v>144</v>
      </c>
      <c r="B11" s="42"/>
      <c r="C11" s="42"/>
      <c r="D11" s="42"/>
      <c r="E11" s="42"/>
      <c r="F11" s="42"/>
      <c r="G11" s="42"/>
      <c r="H11" s="42"/>
    </row>
    <row r="12" spans="1:8" ht="15.75">
      <c r="A12" s="45" t="s">
        <v>123</v>
      </c>
      <c r="B12" s="42"/>
      <c r="C12" s="42"/>
      <c r="D12" s="42"/>
      <c r="E12" s="42"/>
      <c r="F12" s="42"/>
      <c r="G12" s="42"/>
      <c r="H12" s="42"/>
    </row>
    <row r="13" spans="1:8" ht="15.75">
      <c r="A13" s="25"/>
      <c r="B13" s="5"/>
      <c r="C13" s="5"/>
      <c r="D13" s="5"/>
      <c r="E13" s="5"/>
      <c r="F13" s="5"/>
      <c r="G13" s="5"/>
      <c r="H13" s="5"/>
    </row>
  </sheetData>
  <mergeCells count="6">
    <mergeCell ref="G2:G3"/>
    <mergeCell ref="A2:A8"/>
    <mergeCell ref="B2:B3"/>
    <mergeCell ref="C2:C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4719-728C-4E11-BD2F-E5E73ED03BF1}">
  <dimension ref="A1:H13"/>
  <sheetViews>
    <sheetView workbookViewId="0">
      <selection activeCell="A11" sqref="A11"/>
    </sheetView>
  </sheetViews>
  <sheetFormatPr defaultRowHeight="15"/>
  <cols>
    <col min="1" max="1" width="13.7109375" bestFit="1" customWidth="1"/>
    <col min="2" max="2" width="9.140625" bestFit="1" customWidth="1"/>
    <col min="3" max="3" width="33.42578125" bestFit="1" customWidth="1"/>
    <col min="4" max="4" width="34.5703125" customWidth="1"/>
    <col min="5" max="5" width="22.28515625" bestFit="1" customWidth="1"/>
    <col min="6" max="6" width="19.5703125" bestFit="1" customWidth="1"/>
    <col min="7" max="7" width="1.5703125" bestFit="1" customWidth="1"/>
    <col min="8" max="8" width="39.140625" customWidth="1"/>
  </cols>
  <sheetData>
    <row r="1" spans="1:8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</row>
    <row r="2" spans="1:8" ht="30.75">
      <c r="A2" s="89" t="s">
        <v>173</v>
      </c>
      <c r="B2" s="92" t="s">
        <v>149</v>
      </c>
      <c r="C2" s="92" t="s">
        <v>157</v>
      </c>
      <c r="D2" s="46" t="s">
        <v>158</v>
      </c>
      <c r="E2" s="94" t="s">
        <v>133</v>
      </c>
      <c r="F2" s="92" t="s">
        <v>134</v>
      </c>
      <c r="G2" s="96" t="s">
        <v>144</v>
      </c>
      <c r="H2" s="42"/>
    </row>
    <row r="3" spans="1:8" ht="61.5">
      <c r="A3" s="89"/>
      <c r="B3" s="93"/>
      <c r="C3" s="93"/>
      <c r="D3" s="2" t="s">
        <v>160</v>
      </c>
      <c r="E3" s="95"/>
      <c r="F3" s="93"/>
      <c r="G3" s="96"/>
      <c r="H3" s="47" t="s">
        <v>174</v>
      </c>
    </row>
    <row r="4" spans="1:8" ht="57.75">
      <c r="A4" s="89"/>
      <c r="B4" s="48" t="s">
        <v>136</v>
      </c>
      <c r="C4" s="46" t="s">
        <v>162</v>
      </c>
      <c r="D4" s="49" t="s">
        <v>163</v>
      </c>
      <c r="E4" s="46" t="s">
        <v>133</v>
      </c>
      <c r="F4" s="48" t="s">
        <v>137</v>
      </c>
      <c r="G4" s="42" t="s">
        <v>144</v>
      </c>
      <c r="H4" s="47" t="s">
        <v>171</v>
      </c>
    </row>
    <row r="5" spans="1:8" ht="30.75">
      <c r="A5" s="89"/>
      <c r="B5" s="3" t="s">
        <v>138</v>
      </c>
      <c r="C5" s="3" t="s">
        <v>24</v>
      </c>
      <c r="D5" s="4" t="str">
        <f>VLOOKUP(C5,Contatos!B$2:C$37,2,0)</f>
        <v>17-99784-2844</v>
      </c>
      <c r="E5" s="4" t="s">
        <v>133</v>
      </c>
      <c r="F5" s="3" t="s">
        <v>164</v>
      </c>
      <c r="G5" s="42"/>
      <c r="H5" s="42"/>
    </row>
    <row r="6" spans="1:8" ht="30.75">
      <c r="A6" s="89"/>
      <c r="B6" s="38" t="s">
        <v>140</v>
      </c>
      <c r="C6" s="38" t="s">
        <v>101</v>
      </c>
      <c r="D6" s="51" t="str">
        <f>VLOOKUP(C6,Contatos!B$2:C$37,2,0)</f>
        <v>17-98177-4445</v>
      </c>
      <c r="E6" s="51" t="s">
        <v>133</v>
      </c>
      <c r="F6" s="38" t="s">
        <v>165</v>
      </c>
      <c r="G6" s="42"/>
      <c r="H6" s="42"/>
    </row>
    <row r="7" spans="1:8" ht="30.75">
      <c r="A7" s="89"/>
      <c r="B7" s="38" t="s">
        <v>142</v>
      </c>
      <c r="C7" s="38" t="s">
        <v>49</v>
      </c>
      <c r="D7" s="51" t="str">
        <f>VLOOKUP(C7,Contatos!B$2:C$37,2,0)</f>
        <v>17-99647-7590</v>
      </c>
      <c r="E7" s="51" t="s">
        <v>133</v>
      </c>
      <c r="F7" s="38" t="s">
        <v>141</v>
      </c>
      <c r="G7" s="42"/>
      <c r="H7" s="42"/>
    </row>
    <row r="8" spans="1:8" ht="30.75">
      <c r="A8" s="89"/>
      <c r="B8" s="38" t="s">
        <v>166</v>
      </c>
      <c r="C8" s="38" t="s">
        <v>30</v>
      </c>
      <c r="D8" s="51" t="str">
        <f>VLOOKUP(C8,Contatos!B$2:C$37,2,0)</f>
        <v>17-99683-7757</v>
      </c>
      <c r="E8" s="51" t="s">
        <v>133</v>
      </c>
      <c r="F8" s="38" t="s">
        <v>167</v>
      </c>
      <c r="G8" s="42"/>
      <c r="H8" s="42"/>
    </row>
    <row r="9" spans="1:8">
      <c r="A9" s="42"/>
      <c r="B9" s="42"/>
      <c r="C9" s="42"/>
      <c r="D9" s="42"/>
      <c r="E9" s="42"/>
      <c r="F9" s="42"/>
      <c r="G9" s="42"/>
      <c r="H9" s="42"/>
    </row>
    <row r="10" spans="1:8">
      <c r="A10" s="42"/>
      <c r="B10" s="42"/>
      <c r="C10" s="42"/>
      <c r="D10" s="42"/>
      <c r="E10" s="42"/>
      <c r="F10" s="42"/>
      <c r="G10" s="42"/>
      <c r="H10" s="42"/>
    </row>
    <row r="11" spans="1:8">
      <c r="A11" s="43" t="s">
        <v>144</v>
      </c>
      <c r="B11" s="42"/>
      <c r="C11" s="42"/>
      <c r="D11" s="42"/>
      <c r="E11" s="42"/>
      <c r="F11" s="42"/>
      <c r="G11" s="42"/>
      <c r="H11" s="42"/>
    </row>
    <row r="12" spans="1:8" ht="15.75">
      <c r="A12" s="45" t="s">
        <v>123</v>
      </c>
      <c r="B12" s="42"/>
      <c r="C12" s="42"/>
      <c r="D12" s="42"/>
      <c r="E12" s="42"/>
      <c r="F12" s="42"/>
      <c r="G12" s="42"/>
      <c r="H12" s="42"/>
    </row>
    <row r="13" spans="1:8" ht="15.75">
      <c r="A13" s="25"/>
      <c r="B13" s="5"/>
      <c r="C13" s="5"/>
      <c r="D13" s="5"/>
      <c r="E13" s="5"/>
      <c r="F13" s="5"/>
      <c r="G13" s="5"/>
      <c r="H13" s="5"/>
    </row>
  </sheetData>
  <mergeCells count="6">
    <mergeCell ref="G2:G3"/>
    <mergeCell ref="A2:A8"/>
    <mergeCell ref="B2:B3"/>
    <mergeCell ref="C2:C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DAC3-D8D6-4A30-A986-DB7812B95B82}">
  <dimension ref="A1:H13"/>
  <sheetViews>
    <sheetView workbookViewId="0">
      <selection activeCell="A12" sqref="A12"/>
    </sheetView>
  </sheetViews>
  <sheetFormatPr defaultRowHeight="15"/>
  <cols>
    <col min="1" max="1" width="19.7109375" customWidth="1"/>
    <col min="2" max="2" width="9.140625" bestFit="1" customWidth="1"/>
    <col min="3" max="3" width="33.42578125" bestFit="1" customWidth="1"/>
    <col min="4" max="4" width="34.5703125" customWidth="1"/>
    <col min="5" max="5" width="22.28515625" bestFit="1" customWidth="1"/>
    <col min="6" max="6" width="19.5703125" bestFit="1" customWidth="1"/>
    <col min="7" max="7" width="1.5703125" bestFit="1" customWidth="1"/>
    <col min="8" max="8" width="41.28515625" customWidth="1"/>
  </cols>
  <sheetData>
    <row r="1" spans="1:8">
      <c r="A1" s="33" t="s">
        <v>175</v>
      </c>
      <c r="B1" s="33"/>
      <c r="C1" s="33"/>
      <c r="D1" s="33"/>
      <c r="E1" s="33"/>
      <c r="F1" s="33"/>
      <c r="G1" s="5"/>
      <c r="H1" s="5"/>
    </row>
    <row r="2" spans="1:8" ht="18.75">
      <c r="A2" s="6" t="s">
        <v>145</v>
      </c>
      <c r="B2" s="7" t="s">
        <v>125</v>
      </c>
      <c r="C2" s="7" t="s">
        <v>127</v>
      </c>
      <c r="D2" s="7" t="s">
        <v>155</v>
      </c>
      <c r="E2" s="8" t="s">
        <v>128</v>
      </c>
      <c r="F2" s="9" t="s">
        <v>129</v>
      </c>
      <c r="G2" s="42"/>
      <c r="H2" s="42"/>
    </row>
    <row r="3" spans="1:8" ht="30.75">
      <c r="A3" s="89" t="s">
        <v>176</v>
      </c>
      <c r="B3" s="92" t="s">
        <v>149</v>
      </c>
      <c r="C3" s="92" t="s">
        <v>157</v>
      </c>
      <c r="D3" s="46" t="s">
        <v>158</v>
      </c>
      <c r="E3" s="94" t="s">
        <v>133</v>
      </c>
      <c r="F3" s="92" t="s">
        <v>134</v>
      </c>
      <c r="G3" s="96" t="s">
        <v>144</v>
      </c>
      <c r="H3" s="42"/>
    </row>
    <row r="4" spans="1:8" ht="61.5">
      <c r="A4" s="89"/>
      <c r="B4" s="93"/>
      <c r="C4" s="93"/>
      <c r="D4" s="2" t="s">
        <v>160</v>
      </c>
      <c r="E4" s="95"/>
      <c r="F4" s="93"/>
      <c r="G4" s="96"/>
      <c r="H4" s="47" t="s">
        <v>174</v>
      </c>
    </row>
    <row r="5" spans="1:8" ht="57.75">
      <c r="A5" s="89"/>
      <c r="B5" s="48" t="s">
        <v>136</v>
      </c>
      <c r="C5" s="46" t="s">
        <v>162</v>
      </c>
      <c r="D5" s="49" t="s">
        <v>163</v>
      </c>
      <c r="E5" s="46" t="s">
        <v>133</v>
      </c>
      <c r="F5" s="48" t="s">
        <v>137</v>
      </c>
      <c r="G5" s="42" t="s">
        <v>144</v>
      </c>
      <c r="H5" s="47" t="s">
        <v>171</v>
      </c>
    </row>
    <row r="6" spans="1:8" ht="30.75">
      <c r="A6" s="89"/>
      <c r="B6" s="3" t="s">
        <v>138</v>
      </c>
      <c r="C6" s="3" t="s">
        <v>24</v>
      </c>
      <c r="D6" s="4" t="str">
        <f>VLOOKUP(C6,Contatos!B$2:C$37,2,0)</f>
        <v>17-99784-2844</v>
      </c>
      <c r="E6" s="4" t="s">
        <v>133</v>
      </c>
      <c r="F6" s="3" t="s">
        <v>164</v>
      </c>
      <c r="G6" s="42"/>
      <c r="H6" s="42"/>
    </row>
    <row r="7" spans="1:8" ht="30.75">
      <c r="A7" s="89"/>
      <c r="B7" s="38" t="s">
        <v>140</v>
      </c>
      <c r="C7" s="38" t="s">
        <v>101</v>
      </c>
      <c r="D7" s="51" t="str">
        <f>VLOOKUP(C7,Contatos!B$2:C$37,2,0)</f>
        <v>17-98177-4445</v>
      </c>
      <c r="E7" s="51" t="s">
        <v>133</v>
      </c>
      <c r="F7" s="38" t="s">
        <v>165</v>
      </c>
      <c r="G7" s="42"/>
      <c r="H7" s="42"/>
    </row>
    <row r="8" spans="1:8" ht="30.75">
      <c r="A8" s="89"/>
      <c r="B8" s="38" t="s">
        <v>142</v>
      </c>
      <c r="C8" s="38" t="s">
        <v>49</v>
      </c>
      <c r="D8" s="51" t="str">
        <f>VLOOKUP(C8,Contatos!B$2:C$37,2,0)</f>
        <v>17-99647-7590</v>
      </c>
      <c r="E8" s="51" t="s">
        <v>133</v>
      </c>
      <c r="F8" s="38" t="s">
        <v>141</v>
      </c>
      <c r="G8" s="42"/>
      <c r="H8" s="42"/>
    </row>
    <row r="9" spans="1:8" ht="30.75">
      <c r="A9" s="89"/>
      <c r="B9" s="38" t="s">
        <v>166</v>
      </c>
      <c r="C9" s="38" t="s">
        <v>30</v>
      </c>
      <c r="D9" s="51" t="str">
        <f>VLOOKUP(C9,Contatos!B$2:C$37,2,0)</f>
        <v>17-99683-7757</v>
      </c>
      <c r="E9" s="51" t="s">
        <v>133</v>
      </c>
      <c r="F9" s="38" t="s">
        <v>167</v>
      </c>
      <c r="G9" s="42"/>
      <c r="H9" s="42"/>
    </row>
    <row r="10" spans="1:8">
      <c r="A10" s="42"/>
      <c r="B10" s="42"/>
      <c r="C10" s="42"/>
      <c r="D10" s="42"/>
      <c r="E10" s="42"/>
      <c r="F10" s="42"/>
      <c r="G10" s="42"/>
      <c r="H10" s="42"/>
    </row>
    <row r="11" spans="1:8">
      <c r="A11" s="42"/>
      <c r="B11" s="42"/>
      <c r="C11" s="42"/>
      <c r="D11" s="42"/>
      <c r="E11" s="42"/>
      <c r="F11" s="42"/>
      <c r="G11" s="42"/>
      <c r="H11" s="42"/>
    </row>
    <row r="12" spans="1:8">
      <c r="A12" s="43" t="s">
        <v>144</v>
      </c>
      <c r="B12" s="42"/>
      <c r="C12" s="42"/>
      <c r="D12" s="42"/>
      <c r="E12" s="42"/>
      <c r="F12" s="42"/>
      <c r="G12" s="42"/>
      <c r="H12" s="42"/>
    </row>
    <row r="13" spans="1:8" ht="15.75">
      <c r="A13" s="45" t="s">
        <v>123</v>
      </c>
      <c r="B13" s="42"/>
      <c r="C13" s="42"/>
      <c r="D13" s="42"/>
      <c r="E13" s="42"/>
      <c r="F13" s="42"/>
      <c r="G13" s="42"/>
      <c r="H13" s="42"/>
    </row>
  </sheetData>
  <mergeCells count="6">
    <mergeCell ref="F3:F4"/>
    <mergeCell ref="G3:G4"/>
    <mergeCell ref="A3:A9"/>
    <mergeCell ref="B3:B4"/>
    <mergeCell ref="C3:C4"/>
    <mergeCell ref="E3:E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B293-EF95-4458-8DFC-4F210C4BAC57}">
  <dimension ref="A1:H8"/>
  <sheetViews>
    <sheetView workbookViewId="0">
      <selection activeCell="A7" sqref="A7"/>
    </sheetView>
  </sheetViews>
  <sheetFormatPr defaultRowHeight="15"/>
  <cols>
    <col min="1" max="1" width="18.42578125" bestFit="1" customWidth="1"/>
    <col min="2" max="2" width="9.140625" bestFit="1" customWidth="1"/>
    <col min="3" max="3" width="23" bestFit="1" customWidth="1"/>
    <col min="4" max="4" width="16.42578125" bestFit="1" customWidth="1"/>
    <col min="5" max="5" width="22.28515625" bestFit="1" customWidth="1"/>
    <col min="6" max="6" width="19.5703125" bestFit="1" customWidth="1"/>
    <col min="7" max="7" width="42.7109375" customWidth="1"/>
    <col min="8" max="8" width="46.85546875" customWidth="1"/>
  </cols>
  <sheetData>
    <row r="1" spans="1:8" ht="18.75">
      <c r="A1" s="6" t="s">
        <v>145</v>
      </c>
      <c r="B1" s="8" t="s">
        <v>125</v>
      </c>
      <c r="C1" s="8" t="s">
        <v>127</v>
      </c>
      <c r="D1" s="8" t="s">
        <v>155</v>
      </c>
      <c r="E1" s="8" t="s">
        <v>128</v>
      </c>
      <c r="F1" s="9" t="s">
        <v>129</v>
      </c>
      <c r="G1" s="42"/>
      <c r="H1" s="42"/>
    </row>
    <row r="2" spans="1:8" ht="30.75">
      <c r="A2" s="89" t="s">
        <v>177</v>
      </c>
      <c r="B2" s="1" t="s">
        <v>149</v>
      </c>
      <c r="C2" s="1" t="s">
        <v>18</v>
      </c>
      <c r="D2" s="2" t="str">
        <f>VLOOKUP(C2,Contatos!B$2:C$37,2,0)</f>
        <v>17-98125-0953</v>
      </c>
      <c r="E2" s="2" t="s">
        <v>133</v>
      </c>
      <c r="F2" s="1" t="s">
        <v>134</v>
      </c>
      <c r="G2" s="42"/>
      <c r="H2" s="42"/>
    </row>
    <row r="3" spans="1:8" ht="43.5">
      <c r="A3" s="89"/>
      <c r="B3" s="37" t="s">
        <v>136</v>
      </c>
      <c r="C3" s="37" t="s">
        <v>101</v>
      </c>
      <c r="D3" s="39" t="str">
        <f>VLOOKUP(C3,Contatos!B$2:C$37,2,0)</f>
        <v>17-98177-4445</v>
      </c>
      <c r="E3" s="39" t="s">
        <v>133</v>
      </c>
      <c r="F3" s="37" t="s">
        <v>164</v>
      </c>
      <c r="G3" s="42"/>
      <c r="H3" s="47" t="s">
        <v>178</v>
      </c>
    </row>
    <row r="4" spans="1:8" ht="30.75">
      <c r="A4" s="89"/>
      <c r="B4" s="37" t="s">
        <v>138</v>
      </c>
      <c r="C4" s="37" t="s">
        <v>49</v>
      </c>
      <c r="D4" s="39" t="str">
        <f>VLOOKUP(C4,Contatos!B$2:C$37,2,0)</f>
        <v>17-99647-7590</v>
      </c>
      <c r="E4" s="51" t="s">
        <v>133</v>
      </c>
      <c r="F4" s="37" t="s">
        <v>139</v>
      </c>
      <c r="G4" s="42"/>
      <c r="H4" s="42"/>
    </row>
    <row r="5" spans="1:8" ht="30.75">
      <c r="A5" s="89"/>
      <c r="B5" s="37" t="s">
        <v>140</v>
      </c>
      <c r="C5" s="37" t="s">
        <v>30</v>
      </c>
      <c r="D5" s="39" t="str">
        <f>VLOOKUP(C5,Contatos!B$2:C$37,2,0)</f>
        <v>17-99683-7757</v>
      </c>
      <c r="E5" s="39" t="s">
        <v>133</v>
      </c>
      <c r="F5" s="37" t="s">
        <v>165</v>
      </c>
      <c r="G5" s="42"/>
      <c r="H5" s="42"/>
    </row>
    <row r="6" spans="1:8">
      <c r="A6" s="42"/>
      <c r="B6" s="42"/>
      <c r="C6" s="42"/>
      <c r="D6" s="42"/>
      <c r="E6" s="42"/>
      <c r="F6" s="42"/>
      <c r="G6" s="42"/>
      <c r="H6" s="42"/>
    </row>
    <row r="7" spans="1:8">
      <c r="A7" s="43" t="s">
        <v>144</v>
      </c>
      <c r="B7" s="42"/>
      <c r="C7" s="42"/>
      <c r="D7" s="42"/>
      <c r="E7" s="42"/>
      <c r="F7" s="42"/>
      <c r="G7" s="42"/>
      <c r="H7" s="42"/>
    </row>
    <row r="8" spans="1:8" ht="15.75">
      <c r="A8" s="44" t="s">
        <v>123</v>
      </c>
      <c r="B8" s="42"/>
      <c r="C8" s="42"/>
      <c r="D8" s="42"/>
      <c r="E8" s="42"/>
      <c r="F8" s="42"/>
      <c r="G8" s="42"/>
      <c r="H8" s="42"/>
    </row>
  </sheetData>
  <mergeCells count="1">
    <mergeCell ref="A2:A5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4B31-AC59-4E13-9C95-48C59E8BC1D5}">
  <dimension ref="A1:H11"/>
  <sheetViews>
    <sheetView workbookViewId="0">
      <selection activeCell="A2" sqref="A2:A6"/>
    </sheetView>
  </sheetViews>
  <sheetFormatPr defaultRowHeight="15"/>
  <cols>
    <col min="1" max="1" width="13.7109375" bestFit="1" customWidth="1"/>
    <col min="2" max="2" width="9.140625" bestFit="1" customWidth="1"/>
    <col min="3" max="3" width="23.28515625" bestFit="1" customWidth="1"/>
    <col min="4" max="4" width="16.42578125" bestFit="1" customWidth="1"/>
    <col min="5" max="5" width="16.28515625" customWidth="1"/>
    <col min="6" max="6" width="19.5703125" bestFit="1" customWidth="1"/>
    <col min="7" max="7" width="1.5703125" bestFit="1" customWidth="1"/>
    <col min="8" max="8" width="41.140625" customWidth="1"/>
  </cols>
  <sheetData>
    <row r="1" spans="1:8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</row>
    <row r="2" spans="1:8" ht="30.75">
      <c r="A2" s="89" t="s">
        <v>179</v>
      </c>
      <c r="B2" s="1" t="s">
        <v>149</v>
      </c>
      <c r="C2" s="1" t="s">
        <v>180</v>
      </c>
      <c r="D2" s="2" t="s">
        <v>181</v>
      </c>
      <c r="E2" s="2" t="s">
        <v>133</v>
      </c>
      <c r="F2" s="1" t="s">
        <v>134</v>
      </c>
      <c r="G2" s="42"/>
      <c r="H2" s="42"/>
    </row>
    <row r="3" spans="1:8" ht="43.5">
      <c r="A3" s="89"/>
      <c r="B3" s="52" t="s">
        <v>136</v>
      </c>
      <c r="C3" s="52" t="s">
        <v>18</v>
      </c>
      <c r="D3" s="49" t="str">
        <f>VLOOKUP(C3,Contatos!B$2:C$37,2,0)</f>
        <v>17-98125-0953</v>
      </c>
      <c r="E3" s="49" t="s">
        <v>133</v>
      </c>
      <c r="F3" s="52" t="s">
        <v>137</v>
      </c>
      <c r="G3" s="42" t="s">
        <v>144</v>
      </c>
      <c r="H3" s="47" t="s">
        <v>182</v>
      </c>
    </row>
    <row r="4" spans="1:8" ht="30.75">
      <c r="A4" s="89"/>
      <c r="B4" s="38" t="s">
        <v>138</v>
      </c>
      <c r="C4" s="38" t="s">
        <v>101</v>
      </c>
      <c r="D4" s="51" t="str">
        <f>VLOOKUP(C4,Contatos!B$2:C$37,2,0)</f>
        <v>17-98177-4445</v>
      </c>
      <c r="E4" s="51" t="s">
        <v>133</v>
      </c>
      <c r="F4" s="38" t="s">
        <v>139</v>
      </c>
      <c r="G4" s="42"/>
      <c r="H4" s="42"/>
    </row>
    <row r="5" spans="1:8" ht="30.75">
      <c r="A5" s="89"/>
      <c r="B5" s="38" t="s">
        <v>140</v>
      </c>
      <c r="C5" s="38" t="s">
        <v>49</v>
      </c>
      <c r="D5" s="51" t="str">
        <f>VLOOKUP(C5,Contatos!B$2:C$37,2,0)</f>
        <v>17-99647-7590</v>
      </c>
      <c r="E5" s="51" t="s">
        <v>133</v>
      </c>
      <c r="F5" s="38" t="s">
        <v>141</v>
      </c>
      <c r="G5" s="42"/>
      <c r="H5" s="42"/>
    </row>
    <row r="6" spans="1:8" ht="30.75">
      <c r="A6" s="89"/>
      <c r="B6" s="38" t="s">
        <v>142</v>
      </c>
      <c r="C6" s="38" t="s">
        <v>30</v>
      </c>
      <c r="D6" s="51" t="str">
        <f>VLOOKUP(C6,Contatos!B$2:C$37,2,0)</f>
        <v>17-99683-7757</v>
      </c>
      <c r="E6" s="51" t="s">
        <v>133</v>
      </c>
      <c r="F6" s="38" t="s">
        <v>167</v>
      </c>
      <c r="G6" s="42"/>
      <c r="H6" s="42"/>
    </row>
    <row r="7" spans="1:8">
      <c r="A7" s="42"/>
      <c r="B7" s="42"/>
      <c r="C7" s="42"/>
      <c r="D7" s="42"/>
      <c r="E7" s="42"/>
      <c r="F7" s="42"/>
      <c r="G7" s="42"/>
      <c r="H7" s="42"/>
    </row>
    <row r="8" spans="1:8">
      <c r="A8" s="42"/>
      <c r="B8" s="42"/>
      <c r="C8" s="42"/>
      <c r="D8" s="42"/>
      <c r="E8" s="42"/>
      <c r="F8" s="42"/>
      <c r="G8" s="42"/>
      <c r="H8" s="42"/>
    </row>
    <row r="9" spans="1:8">
      <c r="A9" s="43" t="s">
        <v>144</v>
      </c>
      <c r="B9" s="42"/>
      <c r="C9" s="42"/>
      <c r="D9" s="42"/>
      <c r="E9" s="42"/>
      <c r="F9" s="42"/>
      <c r="G9" s="42"/>
      <c r="H9" s="42"/>
    </row>
    <row r="10" spans="1:8" ht="15.75">
      <c r="A10" s="44" t="s">
        <v>123</v>
      </c>
      <c r="B10" s="42"/>
      <c r="C10" s="42"/>
      <c r="D10" s="42"/>
      <c r="E10" s="42"/>
      <c r="F10" s="42"/>
      <c r="G10" s="42"/>
      <c r="H10" s="42"/>
    </row>
    <row r="11" spans="1:8" ht="15.75">
      <c r="A11" s="25"/>
      <c r="B11" s="5"/>
      <c r="C11" s="5"/>
      <c r="D11" s="5"/>
      <c r="E11" s="5"/>
      <c r="F11" s="5"/>
      <c r="G11" s="5"/>
      <c r="H11" s="5"/>
    </row>
  </sheetData>
  <mergeCells count="1">
    <mergeCell ref="A2:A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3368-CF4F-4144-8E3A-52EDECEF5EF0}">
  <dimension ref="A1:H18"/>
  <sheetViews>
    <sheetView workbookViewId="0">
      <selection activeCell="A16" sqref="A16"/>
    </sheetView>
  </sheetViews>
  <sheetFormatPr defaultRowHeight="15"/>
  <cols>
    <col min="1" max="1" width="13.7109375" bestFit="1" customWidth="1"/>
    <col min="2" max="2" width="9.140625" bestFit="1" customWidth="1"/>
    <col min="3" max="3" width="33.42578125" bestFit="1" customWidth="1"/>
    <col min="4" max="4" width="22.140625" customWidth="1"/>
    <col min="5" max="5" width="20.7109375" bestFit="1" customWidth="1"/>
    <col min="6" max="6" width="19.5703125" bestFit="1" customWidth="1"/>
    <col min="7" max="7" width="1.5703125" bestFit="1" customWidth="1"/>
    <col min="8" max="8" width="43.7109375" customWidth="1"/>
  </cols>
  <sheetData>
    <row r="1" spans="1:8" ht="18.75">
      <c r="A1" s="6" t="s">
        <v>145</v>
      </c>
      <c r="B1" s="8" t="s">
        <v>125</v>
      </c>
      <c r="C1" s="8" t="s">
        <v>127</v>
      </c>
      <c r="D1" s="8" t="s">
        <v>155</v>
      </c>
      <c r="E1" s="9" t="s">
        <v>128</v>
      </c>
      <c r="F1" s="9" t="s">
        <v>129</v>
      </c>
      <c r="G1" s="42"/>
      <c r="H1" s="42"/>
    </row>
    <row r="2" spans="1:8" ht="43.5">
      <c r="A2" s="89" t="s">
        <v>183</v>
      </c>
      <c r="B2" s="92" t="s">
        <v>149</v>
      </c>
      <c r="C2" s="92" t="s">
        <v>184</v>
      </c>
      <c r="D2" s="53" t="s">
        <v>185</v>
      </c>
      <c r="E2" s="94" t="s">
        <v>133</v>
      </c>
      <c r="F2" s="92" t="s">
        <v>134</v>
      </c>
      <c r="G2" s="96" t="s">
        <v>144</v>
      </c>
      <c r="H2" s="97"/>
    </row>
    <row r="3" spans="1:8" ht="29.25">
      <c r="A3" s="89"/>
      <c r="B3" s="92"/>
      <c r="C3" s="92"/>
      <c r="D3" s="53" t="s">
        <v>186</v>
      </c>
      <c r="E3" s="94"/>
      <c r="F3" s="92"/>
      <c r="G3" s="96"/>
      <c r="H3" s="97"/>
    </row>
    <row r="4" spans="1:8" ht="29.25">
      <c r="A4" s="89"/>
      <c r="B4" s="92"/>
      <c r="C4" s="92"/>
      <c r="D4" s="53" t="s">
        <v>187</v>
      </c>
      <c r="E4" s="94"/>
      <c r="F4" s="92"/>
      <c r="G4" s="96"/>
      <c r="H4" s="97"/>
    </row>
    <row r="5" spans="1:8" ht="29.25">
      <c r="A5" s="89"/>
      <c r="B5" s="92"/>
      <c r="C5" s="92"/>
      <c r="D5" s="53" t="s">
        <v>188</v>
      </c>
      <c r="E5" s="94"/>
      <c r="F5" s="92"/>
      <c r="G5" s="96"/>
      <c r="H5" s="97"/>
    </row>
    <row r="6" spans="1:8" ht="29.25">
      <c r="A6" s="89"/>
      <c r="B6" s="92"/>
      <c r="C6" s="92"/>
      <c r="D6" s="53" t="s">
        <v>189</v>
      </c>
      <c r="E6" s="94"/>
      <c r="F6" s="92"/>
      <c r="G6" s="96"/>
      <c r="H6" s="97"/>
    </row>
    <row r="7" spans="1:8" ht="29.25">
      <c r="A7" s="89"/>
      <c r="B7" s="92"/>
      <c r="C7" s="92"/>
      <c r="D7" s="53" t="s">
        <v>190</v>
      </c>
      <c r="E7" s="94"/>
      <c r="F7" s="92"/>
      <c r="G7" s="96"/>
      <c r="H7" s="97"/>
    </row>
    <row r="8" spans="1:8" ht="29.25">
      <c r="A8" s="89"/>
      <c r="B8" s="92"/>
      <c r="C8" s="92"/>
      <c r="D8" s="53" t="s">
        <v>191</v>
      </c>
      <c r="E8" s="94"/>
      <c r="F8" s="92"/>
      <c r="G8" s="96"/>
      <c r="H8" s="97"/>
    </row>
    <row r="9" spans="1:8" ht="29.25">
      <c r="A9" s="89"/>
      <c r="B9" s="93"/>
      <c r="C9" s="93"/>
      <c r="D9" s="54" t="s">
        <v>192</v>
      </c>
      <c r="E9" s="95"/>
      <c r="F9" s="93"/>
      <c r="G9" s="96"/>
      <c r="H9" s="97"/>
    </row>
    <row r="10" spans="1:8" ht="43.5">
      <c r="A10" s="89"/>
      <c r="B10" s="48" t="s">
        <v>136</v>
      </c>
      <c r="C10" s="48" t="s">
        <v>193</v>
      </c>
      <c r="D10" s="49" t="s">
        <v>194</v>
      </c>
      <c r="E10" s="46" t="s">
        <v>133</v>
      </c>
      <c r="F10" s="48" t="s">
        <v>137</v>
      </c>
      <c r="G10" s="42" t="s">
        <v>144</v>
      </c>
      <c r="H10" s="47" t="s">
        <v>195</v>
      </c>
    </row>
    <row r="11" spans="1:8" ht="30.75">
      <c r="A11" s="89"/>
      <c r="B11" s="52" t="s">
        <v>138</v>
      </c>
      <c r="C11" s="3" t="s">
        <v>24</v>
      </c>
      <c r="D11" s="4" t="str">
        <f>VLOOKUP(C11,Contatos!B$2:C$37,2,0)</f>
        <v>17-99784-2844</v>
      </c>
      <c r="E11" s="4" t="s">
        <v>133</v>
      </c>
      <c r="F11" s="3" t="s">
        <v>164</v>
      </c>
      <c r="G11" s="42"/>
      <c r="H11" s="42"/>
    </row>
    <row r="12" spans="1:8" ht="30.75">
      <c r="A12" s="89"/>
      <c r="B12" s="38" t="s">
        <v>140</v>
      </c>
      <c r="C12" s="38" t="s">
        <v>101</v>
      </c>
      <c r="D12" s="51" t="str">
        <f>VLOOKUP(C12,Contatos!B$2:C$37,2,0)</f>
        <v>17-98177-4445</v>
      </c>
      <c r="E12" s="51" t="s">
        <v>133</v>
      </c>
      <c r="F12" s="38" t="s">
        <v>165</v>
      </c>
      <c r="G12" s="42"/>
      <c r="H12" s="42"/>
    </row>
    <row r="13" spans="1:8" ht="30.75">
      <c r="A13" s="89"/>
      <c r="B13" s="38" t="s">
        <v>142</v>
      </c>
      <c r="C13" s="38" t="s">
        <v>49</v>
      </c>
      <c r="D13" s="51" t="str">
        <f>VLOOKUP(C13,Contatos!B$2:C$37,2,0)</f>
        <v>17-99647-7590</v>
      </c>
      <c r="E13" s="51" t="s">
        <v>133</v>
      </c>
      <c r="F13" s="38" t="s">
        <v>141</v>
      </c>
      <c r="G13" s="42"/>
      <c r="H13" s="42"/>
    </row>
    <row r="14" spans="1:8" ht="30.75">
      <c r="A14" s="89"/>
      <c r="B14" s="38" t="s">
        <v>166</v>
      </c>
      <c r="C14" s="38" t="s">
        <v>30</v>
      </c>
      <c r="D14" s="51" t="str">
        <f>VLOOKUP(C14,Contatos!B$2:C$37,2,0)</f>
        <v>17-99683-7757</v>
      </c>
      <c r="E14" s="51" t="s">
        <v>133</v>
      </c>
      <c r="F14" s="38" t="s">
        <v>196</v>
      </c>
      <c r="G14" s="42"/>
      <c r="H14" s="42"/>
    </row>
    <row r="15" spans="1:8">
      <c r="A15" s="42"/>
      <c r="B15" s="42"/>
      <c r="C15" s="42"/>
      <c r="D15" s="42"/>
      <c r="E15" s="42"/>
      <c r="F15" s="42"/>
      <c r="G15" s="42"/>
      <c r="H15" s="42"/>
    </row>
    <row r="16" spans="1:8">
      <c r="A16" s="43" t="s">
        <v>144</v>
      </c>
      <c r="B16" s="42"/>
      <c r="C16" s="42"/>
      <c r="D16" s="42"/>
      <c r="E16" s="42"/>
      <c r="F16" s="42"/>
      <c r="G16" s="42"/>
      <c r="H16" s="42"/>
    </row>
    <row r="17" spans="1:8" ht="15.75">
      <c r="A17" s="44" t="s">
        <v>123</v>
      </c>
      <c r="B17" s="42"/>
      <c r="C17" s="42"/>
      <c r="D17" s="42"/>
      <c r="E17" s="42"/>
      <c r="F17" s="42"/>
      <c r="G17" s="42"/>
      <c r="H17" s="42"/>
    </row>
    <row r="18" spans="1:8" ht="15.75">
      <c r="A18" s="25"/>
      <c r="B18" s="5"/>
      <c r="C18" s="5"/>
      <c r="D18" s="5"/>
      <c r="E18" s="5"/>
      <c r="F18" s="5"/>
      <c r="G18" s="5"/>
    </row>
  </sheetData>
  <mergeCells count="7">
    <mergeCell ref="A2:A14"/>
    <mergeCell ref="C2:C9"/>
    <mergeCell ref="H2:H9"/>
    <mergeCell ref="G2:G9"/>
    <mergeCell ref="B2:B9"/>
    <mergeCell ref="E2:E9"/>
    <mergeCell ref="F2:F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6CAB-F121-46D1-8D53-9D893F785AE5}">
  <dimension ref="A1:H13"/>
  <sheetViews>
    <sheetView workbookViewId="0">
      <selection activeCell="A12" sqref="A12"/>
    </sheetView>
  </sheetViews>
  <sheetFormatPr defaultRowHeight="15"/>
  <cols>
    <col min="1" max="1" width="15.42578125" bestFit="1" customWidth="1"/>
    <col min="2" max="2" width="9.140625" bestFit="1" customWidth="1"/>
    <col min="3" max="3" width="33.42578125" bestFit="1" customWidth="1"/>
    <col min="4" max="4" width="16.42578125" bestFit="1" customWidth="1"/>
    <col min="5" max="5" width="20.7109375" bestFit="1" customWidth="1"/>
    <col min="6" max="6" width="19.5703125" bestFit="1" customWidth="1"/>
    <col min="7" max="7" width="1.5703125" bestFit="1" customWidth="1"/>
    <col min="8" max="8" width="51.42578125" customWidth="1"/>
  </cols>
  <sheetData>
    <row r="1" spans="1:8" ht="18.75">
      <c r="A1" s="6" t="s">
        <v>145</v>
      </c>
      <c r="B1" s="7" t="s">
        <v>125</v>
      </c>
      <c r="C1" s="7" t="s">
        <v>127</v>
      </c>
      <c r="D1" s="7" t="s">
        <v>155</v>
      </c>
      <c r="E1" s="8" t="s">
        <v>128</v>
      </c>
      <c r="F1" s="9" t="s">
        <v>129</v>
      </c>
      <c r="G1" s="42"/>
      <c r="H1" s="42"/>
    </row>
    <row r="2" spans="1:8" ht="15.75">
      <c r="A2" s="89" t="s">
        <v>197</v>
      </c>
      <c r="B2" s="92" t="s">
        <v>149</v>
      </c>
      <c r="C2" s="92" t="s">
        <v>198</v>
      </c>
      <c r="D2" s="46" t="s">
        <v>199</v>
      </c>
      <c r="E2" s="94" t="s">
        <v>133</v>
      </c>
      <c r="F2" s="92" t="s">
        <v>134</v>
      </c>
      <c r="G2" s="96" t="s">
        <v>144</v>
      </c>
      <c r="H2" s="97"/>
    </row>
    <row r="3" spans="1:8" ht="15.75">
      <c r="A3" s="89"/>
      <c r="B3" s="92"/>
      <c r="C3" s="92"/>
      <c r="D3" s="46" t="s">
        <v>200</v>
      </c>
      <c r="E3" s="94"/>
      <c r="F3" s="92"/>
      <c r="G3" s="96"/>
      <c r="H3" s="97"/>
    </row>
    <row r="4" spans="1:8" ht="15.75">
      <c r="A4" s="89"/>
      <c r="B4" s="93"/>
      <c r="C4" s="93"/>
      <c r="D4" s="2" t="s">
        <v>201</v>
      </c>
      <c r="E4" s="95"/>
      <c r="F4" s="93"/>
      <c r="G4" s="96"/>
      <c r="H4" s="97"/>
    </row>
    <row r="5" spans="1:8" ht="43.5">
      <c r="A5" s="89"/>
      <c r="B5" s="48" t="s">
        <v>136</v>
      </c>
      <c r="C5" s="48" t="s">
        <v>24</v>
      </c>
      <c r="D5" s="49" t="str">
        <f>VLOOKUP(C5,Contatos!B$2:C$37,2,0)</f>
        <v>17-99784-2844</v>
      </c>
      <c r="E5" s="46" t="s">
        <v>133</v>
      </c>
      <c r="F5" s="48" t="s">
        <v>137</v>
      </c>
      <c r="G5" s="42" t="s">
        <v>144</v>
      </c>
      <c r="H5" s="47" t="s">
        <v>202</v>
      </c>
    </row>
    <row r="6" spans="1:8" ht="30.75">
      <c r="A6" s="89"/>
      <c r="B6" s="38" t="s">
        <v>138</v>
      </c>
      <c r="C6" s="38" t="s">
        <v>101</v>
      </c>
      <c r="D6" s="51" t="str">
        <f>VLOOKUP(C6,Contatos!B$2:C$37,2,0)</f>
        <v>17-98177-4445</v>
      </c>
      <c r="E6" s="51" t="s">
        <v>133</v>
      </c>
      <c r="F6" s="38" t="s">
        <v>139</v>
      </c>
      <c r="G6" s="42"/>
      <c r="H6" s="42"/>
    </row>
    <row r="7" spans="1:8" ht="30.75">
      <c r="A7" s="89"/>
      <c r="B7" s="38" t="s">
        <v>140</v>
      </c>
      <c r="C7" s="38" t="s">
        <v>49</v>
      </c>
      <c r="D7" s="51" t="str">
        <f>VLOOKUP(C7,Contatos!B$2:C$37,2,0)</f>
        <v>17-99647-7590</v>
      </c>
      <c r="E7" s="51" t="s">
        <v>133</v>
      </c>
      <c r="F7" s="38" t="s">
        <v>141</v>
      </c>
      <c r="G7" s="42"/>
      <c r="H7" s="42"/>
    </row>
    <row r="8" spans="1:8" ht="30.75">
      <c r="A8" s="89"/>
      <c r="B8" s="38" t="s">
        <v>142</v>
      </c>
      <c r="C8" s="38" t="s">
        <v>30</v>
      </c>
      <c r="D8" s="51" t="str">
        <f>VLOOKUP(C8,Contatos!B$2:C$37,2,0)</f>
        <v>17-99683-7757</v>
      </c>
      <c r="E8" s="51" t="s">
        <v>133</v>
      </c>
      <c r="F8" s="38" t="s">
        <v>143</v>
      </c>
      <c r="G8" s="42"/>
      <c r="H8" s="42"/>
    </row>
    <row r="9" spans="1:8">
      <c r="A9" s="42"/>
      <c r="B9" s="42"/>
      <c r="C9" s="42"/>
      <c r="D9" s="42"/>
      <c r="E9" s="42"/>
      <c r="F9" s="42"/>
      <c r="G9" s="42"/>
      <c r="H9" s="42"/>
    </row>
    <row r="10" spans="1:8">
      <c r="A10" s="42"/>
      <c r="B10" s="42"/>
      <c r="C10" s="42"/>
      <c r="D10" s="42"/>
      <c r="E10" s="42"/>
      <c r="F10" s="42"/>
      <c r="G10" s="42"/>
      <c r="H10" s="42"/>
    </row>
    <row r="11" spans="1:8">
      <c r="A11" s="42"/>
      <c r="B11" s="42"/>
      <c r="C11" s="42"/>
      <c r="D11" s="42"/>
      <c r="E11" s="42"/>
      <c r="F11" s="42"/>
      <c r="G11" s="42"/>
      <c r="H11" s="42"/>
    </row>
    <row r="12" spans="1:8">
      <c r="A12" s="43" t="s">
        <v>144</v>
      </c>
      <c r="B12" s="42"/>
      <c r="C12" s="42"/>
      <c r="D12" s="42"/>
      <c r="E12" s="42"/>
      <c r="F12" s="42"/>
      <c r="G12" s="42"/>
      <c r="H12" s="42"/>
    </row>
    <row r="13" spans="1:8" ht="15.75">
      <c r="A13" s="44" t="s">
        <v>123</v>
      </c>
      <c r="B13" s="42"/>
      <c r="C13" s="42"/>
      <c r="D13" s="42"/>
      <c r="E13" s="42"/>
      <c r="F13" s="42"/>
      <c r="G13" s="42"/>
      <c r="H13" s="42"/>
    </row>
  </sheetData>
  <mergeCells count="7">
    <mergeCell ref="F2:F4"/>
    <mergeCell ref="G2:G4"/>
    <mergeCell ref="H2:H4"/>
    <mergeCell ref="A2:A8"/>
    <mergeCell ref="B2:B4"/>
    <mergeCell ref="C2:C4"/>
    <mergeCell ref="E2:E4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3C46-383D-4F62-870A-ECBF27274FC9}">
  <dimension ref="A1:H8"/>
  <sheetViews>
    <sheetView workbookViewId="0">
      <selection activeCell="A7" sqref="A7"/>
    </sheetView>
  </sheetViews>
  <sheetFormatPr defaultRowHeight="15"/>
  <cols>
    <col min="1" max="1" width="14.140625" style="55" bestFit="1" customWidth="1"/>
    <col min="2" max="2" width="9.140625" style="55" bestFit="1" customWidth="1"/>
    <col min="3" max="3" width="23" style="55" bestFit="1" customWidth="1"/>
    <col min="4" max="4" width="16" style="55" bestFit="1" customWidth="1"/>
    <col min="5" max="5" width="20.7109375" style="55" bestFit="1" customWidth="1"/>
    <col min="6" max="6" width="19.5703125" style="55" bestFit="1" customWidth="1"/>
    <col min="7" max="7" width="24.140625" style="55" customWidth="1"/>
    <col min="8" max="8" width="45.85546875" style="55" customWidth="1"/>
    <col min="9" max="16384" width="9.140625" style="55"/>
  </cols>
  <sheetData>
    <row r="1" spans="1:8" ht="18.75">
      <c r="A1" s="6" t="s">
        <v>145</v>
      </c>
      <c r="B1" s="8" t="s">
        <v>125</v>
      </c>
      <c r="C1" s="8" t="s">
        <v>127</v>
      </c>
      <c r="D1" s="8" t="s">
        <v>155</v>
      </c>
      <c r="E1" s="9" t="s">
        <v>128</v>
      </c>
      <c r="F1" s="9" t="s">
        <v>129</v>
      </c>
      <c r="G1" s="42"/>
      <c r="H1" s="42"/>
    </row>
    <row r="2" spans="1:8" ht="30.75">
      <c r="A2" s="89" t="s">
        <v>203</v>
      </c>
      <c r="B2" s="12" t="s">
        <v>149</v>
      </c>
      <c r="C2" s="1" t="s">
        <v>18</v>
      </c>
      <c r="D2" s="14" t="str">
        <f>VLOOKUP(C2,Contatos!B$2:C$37,2,0)</f>
        <v>17-98125-0953</v>
      </c>
      <c r="E2" s="14" t="s">
        <v>133</v>
      </c>
      <c r="F2" s="15" t="s">
        <v>134</v>
      </c>
      <c r="G2" s="42"/>
      <c r="H2" s="47"/>
    </row>
    <row r="3" spans="1:8" ht="43.5">
      <c r="A3" s="89"/>
      <c r="B3" s="37" t="s">
        <v>138</v>
      </c>
      <c r="C3" s="37" t="s">
        <v>101</v>
      </c>
      <c r="D3" s="56" t="str">
        <f>VLOOKUP(C3,Contatos!B$2:C$37,2,0)</f>
        <v>17-98177-4445</v>
      </c>
      <c r="E3" s="56" t="s">
        <v>133</v>
      </c>
      <c r="F3" s="57" t="s">
        <v>137</v>
      </c>
      <c r="G3" s="42"/>
      <c r="H3" s="47" t="s">
        <v>195</v>
      </c>
    </row>
    <row r="4" spans="1:8" ht="30.75">
      <c r="A4" s="89"/>
      <c r="B4" s="37" t="s">
        <v>140</v>
      </c>
      <c r="C4" s="37" t="s">
        <v>49</v>
      </c>
      <c r="D4" s="56" t="str">
        <f>VLOOKUP(C4,Contatos!B$2:C$37,2,0)</f>
        <v>17-99647-7590</v>
      </c>
      <c r="E4" s="58" t="s">
        <v>133</v>
      </c>
      <c r="F4" s="57" t="s">
        <v>139</v>
      </c>
      <c r="G4" s="42"/>
      <c r="H4" s="42"/>
    </row>
    <row r="5" spans="1:8" ht="30.75">
      <c r="A5" s="89"/>
      <c r="B5" s="37" t="s">
        <v>142</v>
      </c>
      <c r="C5" s="37" t="s">
        <v>30</v>
      </c>
      <c r="D5" s="56" t="str">
        <f>VLOOKUP(C5,Contatos!B$2:C$37,2,0)</f>
        <v>17-99683-7757</v>
      </c>
      <c r="E5" s="56" t="s">
        <v>133</v>
      </c>
      <c r="F5" s="57" t="s">
        <v>141</v>
      </c>
      <c r="G5" s="42"/>
      <c r="H5" s="42"/>
    </row>
    <row r="6" spans="1:8">
      <c r="A6" s="42"/>
      <c r="B6" s="42"/>
      <c r="C6" s="42"/>
      <c r="D6" s="42"/>
      <c r="E6" s="42"/>
      <c r="F6" s="42"/>
      <c r="G6" s="42"/>
      <c r="H6" s="42"/>
    </row>
    <row r="7" spans="1:8">
      <c r="A7" s="43" t="s">
        <v>144</v>
      </c>
      <c r="B7" s="42"/>
      <c r="C7" s="42"/>
      <c r="D7" s="42"/>
      <c r="E7" s="42"/>
      <c r="F7" s="42"/>
      <c r="G7" s="42"/>
      <c r="H7" s="42"/>
    </row>
    <row r="8" spans="1:8" ht="15.75">
      <c r="A8" s="44" t="s">
        <v>123</v>
      </c>
      <c r="B8" s="42"/>
      <c r="C8" s="42"/>
      <c r="D8" s="42"/>
      <c r="E8" s="42"/>
      <c r="F8" s="42"/>
      <c r="G8" s="42"/>
      <c r="H8" s="42"/>
    </row>
  </sheetData>
  <mergeCells count="1">
    <mergeCell ref="A2:A5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5AC7-711C-4832-843B-90DBDA8CB72E}">
  <dimension ref="A1:H9"/>
  <sheetViews>
    <sheetView workbookViewId="0">
      <selection activeCell="A6" sqref="A6"/>
    </sheetView>
  </sheetViews>
  <sheetFormatPr defaultRowHeight="15"/>
  <cols>
    <col min="1" max="1" width="10.7109375" bestFit="1" customWidth="1"/>
    <col min="2" max="2" width="9.140625" bestFit="1" customWidth="1"/>
    <col min="3" max="3" width="39.42578125" bestFit="1" customWidth="1"/>
    <col min="4" max="4" width="16" bestFit="1" customWidth="1"/>
    <col min="5" max="5" width="23.85546875" bestFit="1" customWidth="1"/>
    <col min="6" max="6" width="19.5703125" bestFit="1" customWidth="1"/>
    <col min="7" max="7" width="1.5703125" bestFit="1" customWidth="1"/>
    <col min="8" max="8" width="92.85546875" bestFit="1" customWidth="1"/>
  </cols>
  <sheetData>
    <row r="1" spans="1:8" ht="18.75">
      <c r="A1" s="6" t="s">
        <v>124</v>
      </c>
      <c r="B1" s="7" t="s">
        <v>125</v>
      </c>
      <c r="C1" s="7" t="s">
        <v>126</v>
      </c>
      <c r="D1" s="7" t="s">
        <v>127</v>
      </c>
      <c r="E1" s="9" t="s">
        <v>128</v>
      </c>
      <c r="F1" s="9" t="s">
        <v>129</v>
      </c>
      <c r="G1" s="42"/>
      <c r="H1" s="42"/>
    </row>
    <row r="2" spans="1:8" ht="29.25">
      <c r="A2" s="98" t="s">
        <v>82</v>
      </c>
      <c r="B2" s="71" t="s">
        <v>149</v>
      </c>
      <c r="C2" s="46" t="s">
        <v>204</v>
      </c>
      <c r="D2" s="59" t="s">
        <v>205</v>
      </c>
      <c r="E2" s="73" t="s">
        <v>133</v>
      </c>
      <c r="F2" s="74" t="s">
        <v>134</v>
      </c>
      <c r="G2" s="72" t="s">
        <v>144</v>
      </c>
      <c r="H2" s="47" t="s">
        <v>195</v>
      </c>
    </row>
    <row r="3" spans="1:8" ht="15.75">
      <c r="A3" s="98"/>
      <c r="B3" s="12" t="s">
        <v>136</v>
      </c>
      <c r="C3" s="3" t="s">
        <v>83</v>
      </c>
      <c r="D3" s="13" t="str">
        <f>VLOOKUP(C3,Contatos!B$2:C$37,2,0)</f>
        <v>17-99772-5375</v>
      </c>
      <c r="E3" s="10" t="s">
        <v>133</v>
      </c>
      <c r="F3" s="15" t="s">
        <v>137</v>
      </c>
      <c r="G3" s="42"/>
    </row>
    <row r="4" spans="1:8" ht="15.75">
      <c r="A4" s="98"/>
      <c r="B4" s="37" t="s">
        <v>140</v>
      </c>
      <c r="C4" s="37" t="s">
        <v>30</v>
      </c>
      <c r="D4" s="56" t="str">
        <f>VLOOKUP(C4,Contatos!B$2:C$37,2,0)</f>
        <v>17-99683-7757</v>
      </c>
      <c r="E4" s="58" t="s">
        <v>133</v>
      </c>
      <c r="F4" s="61" t="s">
        <v>139</v>
      </c>
      <c r="G4" s="42"/>
    </row>
    <row r="5" spans="1:8">
      <c r="A5" s="42"/>
      <c r="B5" s="42" t="s">
        <v>144</v>
      </c>
      <c r="C5" s="42" t="s">
        <v>144</v>
      </c>
      <c r="D5" s="42" t="s">
        <v>144</v>
      </c>
      <c r="E5" s="42" t="s">
        <v>144</v>
      </c>
      <c r="F5" s="42"/>
      <c r="G5" s="42"/>
    </row>
    <row r="6" spans="1:8">
      <c r="A6" s="43" t="s">
        <v>144</v>
      </c>
      <c r="B6" s="42"/>
      <c r="C6" s="42"/>
      <c r="D6" s="42"/>
      <c r="E6" s="42"/>
      <c r="F6" s="42"/>
      <c r="G6" s="42"/>
    </row>
    <row r="7" spans="1:8" ht="15.75">
      <c r="A7" s="44" t="s">
        <v>123</v>
      </c>
      <c r="B7" s="42"/>
      <c r="C7" s="42"/>
      <c r="D7" s="42"/>
      <c r="E7" s="42"/>
      <c r="F7" s="42"/>
      <c r="G7" s="42"/>
      <c r="H7" s="60"/>
    </row>
    <row r="8" spans="1:8">
      <c r="H8" s="42"/>
    </row>
    <row r="9" spans="1:8">
      <c r="H9" s="42"/>
    </row>
  </sheetData>
  <mergeCells count="1">
    <mergeCell ref="A2:A4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1673-F47D-4AC1-B8F6-C2D43857EF91}">
  <dimension ref="A1:H9"/>
  <sheetViews>
    <sheetView workbookViewId="0">
      <selection activeCell="A8" sqref="A8"/>
    </sheetView>
  </sheetViews>
  <sheetFormatPr defaultRowHeight="15"/>
  <cols>
    <col min="1" max="1" width="18.28515625" bestFit="1" customWidth="1"/>
    <col min="2" max="2" width="9.140625" bestFit="1" customWidth="1"/>
    <col min="3" max="3" width="44" bestFit="1" customWidth="1"/>
    <col min="4" max="4" width="16.42578125" bestFit="1" customWidth="1"/>
    <col min="5" max="5" width="22.28515625" bestFit="1" customWidth="1"/>
    <col min="6" max="6" width="19.5703125" bestFit="1" customWidth="1"/>
    <col min="8" max="8" width="40.7109375" customWidth="1"/>
  </cols>
  <sheetData>
    <row r="1" spans="1:8" ht="18.75">
      <c r="A1" s="6" t="s">
        <v>124</v>
      </c>
      <c r="B1" s="8" t="s">
        <v>125</v>
      </c>
      <c r="C1" s="8" t="s">
        <v>126</v>
      </c>
      <c r="D1" s="8" t="s">
        <v>127</v>
      </c>
      <c r="E1" s="8" t="s">
        <v>128</v>
      </c>
      <c r="F1" s="9" t="s">
        <v>129</v>
      </c>
      <c r="G1" s="5"/>
      <c r="H1" s="5"/>
    </row>
    <row r="2" spans="1:8" ht="30.75">
      <c r="A2" s="89" t="s">
        <v>206</v>
      </c>
      <c r="B2" s="1" t="s">
        <v>131</v>
      </c>
      <c r="C2" s="1" t="s">
        <v>132</v>
      </c>
      <c r="D2" s="2" t="s">
        <v>42</v>
      </c>
      <c r="E2" s="2" t="s">
        <v>133</v>
      </c>
      <c r="F2" s="1" t="s">
        <v>134</v>
      </c>
      <c r="G2" s="5"/>
      <c r="H2" s="5"/>
    </row>
    <row r="3" spans="1:8" ht="30.75">
      <c r="A3" s="89"/>
      <c r="B3" s="62" t="s">
        <v>136</v>
      </c>
      <c r="C3" s="12" t="s">
        <v>135</v>
      </c>
      <c r="D3" s="12" t="s">
        <v>38</v>
      </c>
      <c r="E3" s="63" t="s">
        <v>133</v>
      </c>
      <c r="F3" s="1" t="s">
        <v>207</v>
      </c>
      <c r="G3" s="5"/>
      <c r="H3" s="5"/>
    </row>
    <row r="4" spans="1:8" ht="43.5">
      <c r="A4" s="89"/>
      <c r="B4" s="37" t="s">
        <v>138</v>
      </c>
      <c r="C4" s="37" t="s">
        <v>98</v>
      </c>
      <c r="D4" s="51" t="str">
        <f>VLOOKUP(C4,Contatos!B$2:C$37,2,0)</f>
        <v>17-99787-0087</v>
      </c>
      <c r="E4" s="51" t="s">
        <v>133</v>
      </c>
      <c r="F4" s="37" t="s">
        <v>164</v>
      </c>
      <c r="G4" s="5"/>
      <c r="H4" s="34" t="s">
        <v>195</v>
      </c>
    </row>
    <row r="5" spans="1:8" ht="30.75">
      <c r="A5" s="89"/>
      <c r="B5" s="37" t="s">
        <v>140</v>
      </c>
      <c r="C5" s="37" t="s">
        <v>49</v>
      </c>
      <c r="D5" s="51" t="str">
        <f>VLOOKUP(C5,Contatos!B$2:C$37,2,0)</f>
        <v>17-99647-7590</v>
      </c>
      <c r="E5" s="51" t="s">
        <v>133</v>
      </c>
      <c r="F5" s="37" t="s">
        <v>165</v>
      </c>
      <c r="G5" s="5"/>
      <c r="H5" s="5"/>
    </row>
    <row r="6" spans="1:8" ht="30.75">
      <c r="A6" s="89"/>
      <c r="B6" s="37" t="s">
        <v>142</v>
      </c>
      <c r="C6" s="37" t="s">
        <v>30</v>
      </c>
      <c r="D6" s="51" t="str">
        <f>VLOOKUP(C6,Contatos!B$2:C$37,2,0)</f>
        <v>17-99683-7757</v>
      </c>
      <c r="E6" s="51" t="s">
        <v>133</v>
      </c>
      <c r="F6" s="37" t="s">
        <v>143</v>
      </c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35" t="s">
        <v>144</v>
      </c>
      <c r="B8" s="5"/>
      <c r="C8" s="5"/>
      <c r="D8" s="5"/>
      <c r="E8" s="5"/>
      <c r="F8" s="5"/>
      <c r="G8" s="5"/>
      <c r="H8" s="5"/>
    </row>
    <row r="9" spans="1:8" ht="15.75">
      <c r="A9" s="25" t="s">
        <v>123</v>
      </c>
      <c r="B9" s="5"/>
      <c r="C9" s="5"/>
      <c r="D9" s="5"/>
      <c r="E9" s="5"/>
      <c r="F9" s="5"/>
      <c r="G9" s="5"/>
      <c r="H9" s="5"/>
    </row>
  </sheetData>
  <mergeCells count="1">
    <mergeCell ref="A2:A6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977F-24F8-4323-9AB8-5DCA7DECC6F5}">
  <dimension ref="A1:H8"/>
  <sheetViews>
    <sheetView workbookViewId="0">
      <selection activeCell="A7" sqref="A7"/>
    </sheetView>
  </sheetViews>
  <sheetFormatPr defaultRowHeight="15"/>
  <cols>
    <col min="1" max="1" width="25.85546875" bestFit="1" customWidth="1"/>
    <col min="2" max="2" width="9.140625" bestFit="1" customWidth="1"/>
    <col min="3" max="3" width="34.42578125" bestFit="1" customWidth="1"/>
    <col min="4" max="4" width="16" bestFit="1" customWidth="1"/>
    <col min="5" max="6" width="19.5703125" bestFit="1" customWidth="1"/>
    <col min="7" max="7" width="46.28515625" customWidth="1"/>
    <col min="8" max="8" width="42" customWidth="1"/>
  </cols>
  <sheetData>
    <row r="1" spans="1:8" ht="18.75">
      <c r="A1" s="6" t="s">
        <v>124</v>
      </c>
      <c r="B1" s="8" t="s">
        <v>125</v>
      </c>
      <c r="C1" s="8" t="s">
        <v>127</v>
      </c>
      <c r="D1" s="8" t="s">
        <v>155</v>
      </c>
      <c r="E1" s="8" t="s">
        <v>128</v>
      </c>
      <c r="F1" s="9" t="s">
        <v>129</v>
      </c>
      <c r="G1" s="5"/>
      <c r="H1" s="5"/>
    </row>
    <row r="2" spans="1:8" ht="30.75">
      <c r="A2" s="89" t="s">
        <v>208</v>
      </c>
      <c r="B2" s="1" t="s">
        <v>149</v>
      </c>
      <c r="C2" s="1" t="s">
        <v>21</v>
      </c>
      <c r="D2" s="2" t="str">
        <f>VLOOKUP(C2,Contatos!B$2:C$37,2,0)</f>
        <v>17 99738-2188</v>
      </c>
      <c r="E2" s="2" t="s">
        <v>133</v>
      </c>
      <c r="F2" s="1" t="s">
        <v>134</v>
      </c>
      <c r="G2" s="5"/>
      <c r="H2" s="5"/>
    </row>
    <row r="3" spans="1:8" ht="43.5">
      <c r="A3" s="89"/>
      <c r="B3" s="37" t="s">
        <v>136</v>
      </c>
      <c r="C3" s="37" t="s">
        <v>101</v>
      </c>
      <c r="D3" s="39" t="str">
        <f>VLOOKUP(C3,Contatos!B$2:C$37,2,0)</f>
        <v>17-98177-4445</v>
      </c>
      <c r="E3" s="39" t="s">
        <v>133</v>
      </c>
      <c r="F3" s="37" t="s">
        <v>139</v>
      </c>
      <c r="G3" s="5"/>
      <c r="H3" s="34" t="s">
        <v>195</v>
      </c>
    </row>
    <row r="4" spans="1:8" ht="30.75">
      <c r="A4" s="89"/>
      <c r="B4" s="37" t="s">
        <v>138</v>
      </c>
      <c r="C4" s="37" t="s">
        <v>49</v>
      </c>
      <c r="D4" s="39" t="str">
        <f>VLOOKUP(C4,Contatos!B$2:C$37,2,0)</f>
        <v>17-99647-7590</v>
      </c>
      <c r="E4" s="51" t="s">
        <v>133</v>
      </c>
      <c r="F4" s="37" t="s">
        <v>165</v>
      </c>
      <c r="G4" s="5"/>
      <c r="H4" s="5"/>
    </row>
    <row r="5" spans="1:8" ht="30.75">
      <c r="A5" s="89"/>
      <c r="B5" s="37" t="s">
        <v>140</v>
      </c>
      <c r="C5" s="37" t="s">
        <v>30</v>
      </c>
      <c r="D5" s="39" t="str">
        <f>VLOOKUP(C5,Contatos!B$2:C$37,2,0)</f>
        <v>17-99683-7757</v>
      </c>
      <c r="E5" s="39" t="s">
        <v>133</v>
      </c>
      <c r="F5" s="37" t="s">
        <v>209</v>
      </c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35" t="s">
        <v>144</v>
      </c>
      <c r="B7" s="5"/>
      <c r="C7" s="5"/>
      <c r="D7" s="5"/>
      <c r="E7" s="5"/>
      <c r="F7" s="5"/>
      <c r="G7" s="5"/>
      <c r="H7" s="5"/>
    </row>
    <row r="8" spans="1:8" ht="15.75">
      <c r="A8" s="25" t="s">
        <v>123</v>
      </c>
      <c r="B8" s="5"/>
      <c r="C8" s="5"/>
      <c r="D8" s="5"/>
      <c r="E8" s="5"/>
      <c r="F8" s="5"/>
      <c r="G8" s="5"/>
      <c r="H8" s="5"/>
    </row>
  </sheetData>
  <mergeCells count="1">
    <mergeCell ref="A2:A5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4256-419B-4630-A057-E34A8A0D244E}">
  <dimension ref="A1:H8"/>
  <sheetViews>
    <sheetView workbookViewId="0">
      <selection activeCell="A7" sqref="A7"/>
    </sheetView>
  </sheetViews>
  <sheetFormatPr defaultRowHeight="15"/>
  <cols>
    <col min="1" max="1" width="10.7109375" bestFit="1" customWidth="1"/>
    <col min="2" max="2" width="8.42578125" bestFit="1" customWidth="1"/>
    <col min="3" max="3" width="25.140625" bestFit="1" customWidth="1"/>
    <col min="4" max="4" width="16.42578125" bestFit="1" customWidth="1"/>
    <col min="5" max="5" width="22.28515625" bestFit="1" customWidth="1"/>
    <col min="6" max="6" width="19.5703125" bestFit="1" customWidth="1"/>
    <col min="7" max="7" width="1.5703125" bestFit="1" customWidth="1"/>
    <col min="8" max="8" width="42.28515625" customWidth="1"/>
  </cols>
  <sheetData>
    <row r="1" spans="1:8" ht="18.75">
      <c r="A1" s="6" t="s">
        <v>124</v>
      </c>
      <c r="B1" s="9" t="s">
        <v>125</v>
      </c>
      <c r="C1" s="9" t="s">
        <v>126</v>
      </c>
      <c r="D1" s="9" t="s">
        <v>127</v>
      </c>
      <c r="E1" s="8" t="s">
        <v>128</v>
      </c>
      <c r="F1" s="9" t="s">
        <v>129</v>
      </c>
      <c r="G1" s="5"/>
      <c r="H1" s="5"/>
    </row>
    <row r="2" spans="1:8" ht="30.75">
      <c r="A2" s="89" t="s">
        <v>210</v>
      </c>
      <c r="B2" s="15" t="s">
        <v>131</v>
      </c>
      <c r="C2" s="15" t="s">
        <v>91</v>
      </c>
      <c r="D2" s="17" t="str">
        <f>VLOOKUP(C2,Contatos!B$2:C$37,2,0)</f>
        <v>11-99014-2049</v>
      </c>
      <c r="E2" s="17" t="s">
        <v>133</v>
      </c>
      <c r="F2" s="12" t="s">
        <v>134</v>
      </c>
      <c r="G2" s="5"/>
      <c r="H2" s="5"/>
    </row>
    <row r="3" spans="1:8" ht="43.5">
      <c r="A3" s="89"/>
      <c r="B3" s="57" t="s">
        <v>136</v>
      </c>
      <c r="C3" s="57" t="s">
        <v>45</v>
      </c>
      <c r="D3" s="64" t="str">
        <f>VLOOKUP(C3,Contatos!B$2:C$37,2,0)</f>
        <v>17-99645-0645</v>
      </c>
      <c r="E3" s="64" t="s">
        <v>133</v>
      </c>
      <c r="F3" s="64" t="s">
        <v>137</v>
      </c>
      <c r="G3" s="5" t="s">
        <v>144</v>
      </c>
      <c r="H3" s="34" t="s">
        <v>195</v>
      </c>
    </row>
    <row r="4" spans="1:8" ht="30.75">
      <c r="A4" s="89"/>
      <c r="B4" s="57" t="s">
        <v>138</v>
      </c>
      <c r="C4" s="57" t="s">
        <v>49</v>
      </c>
      <c r="D4" s="64" t="str">
        <f>VLOOKUP(C4,Contatos!B$2:C$37,2,0)</f>
        <v>17-99647-7590</v>
      </c>
      <c r="E4" s="51" t="s">
        <v>133</v>
      </c>
      <c r="F4" s="51" t="s">
        <v>139</v>
      </c>
      <c r="G4" s="5"/>
      <c r="H4" s="5"/>
    </row>
    <row r="5" spans="1:8" ht="30.75">
      <c r="A5" s="89"/>
      <c r="B5" s="57" t="s">
        <v>140</v>
      </c>
      <c r="C5" s="57" t="s">
        <v>30</v>
      </c>
      <c r="D5" s="64" t="str">
        <f>VLOOKUP(C5,Contatos!B$2:C$37,2,0)</f>
        <v>17-99683-7757</v>
      </c>
      <c r="E5" s="51" t="s">
        <v>133</v>
      </c>
      <c r="F5" s="66" t="s">
        <v>141</v>
      </c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35" t="s">
        <v>144</v>
      </c>
      <c r="B7" s="5"/>
      <c r="C7" s="5"/>
      <c r="D7" s="5"/>
      <c r="E7" s="5"/>
      <c r="F7" s="5"/>
      <c r="G7" s="5"/>
      <c r="H7" s="5"/>
    </row>
    <row r="8" spans="1:8" ht="15.75">
      <c r="A8" s="25" t="s">
        <v>123</v>
      </c>
      <c r="B8" s="5"/>
      <c r="C8" s="5"/>
      <c r="D8" s="5"/>
      <c r="E8" s="5"/>
      <c r="F8" s="5"/>
      <c r="G8" s="5"/>
      <c r="H8" s="5"/>
    </row>
  </sheetData>
  <mergeCells count="1">
    <mergeCell ref="A2:A5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A64C-8BDC-42BF-B2E4-305CD2790440}">
  <dimension ref="A1:H12"/>
  <sheetViews>
    <sheetView workbookViewId="0">
      <selection activeCell="A10" sqref="A10"/>
    </sheetView>
  </sheetViews>
  <sheetFormatPr defaultRowHeight="15"/>
  <cols>
    <col min="1" max="1" width="12" bestFit="1" customWidth="1"/>
    <col min="2" max="2" width="9.140625" bestFit="1" customWidth="1"/>
    <col min="3" max="3" width="44.42578125" bestFit="1" customWidth="1"/>
    <col min="4" max="4" width="24.140625" bestFit="1" customWidth="1"/>
    <col min="5" max="5" width="20.7109375" bestFit="1" customWidth="1"/>
    <col min="6" max="6" width="19.5703125" bestFit="1" customWidth="1"/>
    <col min="7" max="7" width="1.5703125" bestFit="1" customWidth="1"/>
    <col min="8" max="8" width="45.7109375" customWidth="1"/>
  </cols>
  <sheetData>
    <row r="1" spans="1:8" ht="18.75">
      <c r="A1" s="6" t="s">
        <v>124</v>
      </c>
      <c r="B1" s="8" t="s">
        <v>125</v>
      </c>
      <c r="C1" s="8" t="s">
        <v>126</v>
      </c>
      <c r="D1" s="8" t="s">
        <v>127</v>
      </c>
      <c r="E1" s="9" t="s">
        <v>128</v>
      </c>
      <c r="F1" s="9" t="s">
        <v>129</v>
      </c>
      <c r="G1" s="5"/>
      <c r="H1" s="5"/>
    </row>
    <row r="2" spans="1:8" ht="15.75">
      <c r="A2" s="89" t="s">
        <v>211</v>
      </c>
      <c r="B2" s="87" t="s">
        <v>131</v>
      </c>
      <c r="C2" s="67" t="s">
        <v>212</v>
      </c>
      <c r="D2" s="67" t="s">
        <v>213</v>
      </c>
      <c r="E2" s="100" t="s">
        <v>133</v>
      </c>
      <c r="F2" s="102" t="s">
        <v>134</v>
      </c>
      <c r="G2" s="110" t="s">
        <v>144</v>
      </c>
      <c r="H2" s="111"/>
    </row>
    <row r="3" spans="1:8" ht="15.75">
      <c r="A3" s="89"/>
      <c r="B3" s="87"/>
      <c r="C3" s="67" t="s">
        <v>214</v>
      </c>
      <c r="D3" s="67" t="s">
        <v>215</v>
      </c>
      <c r="E3" s="100"/>
      <c r="F3" s="102"/>
      <c r="G3" s="110"/>
      <c r="H3" s="111"/>
    </row>
    <row r="4" spans="1:8" ht="15.75">
      <c r="A4" s="89"/>
      <c r="B4" s="99"/>
      <c r="C4" s="17" t="s">
        <v>216</v>
      </c>
      <c r="D4" s="17" t="s">
        <v>217</v>
      </c>
      <c r="E4" s="101"/>
      <c r="F4" s="103"/>
      <c r="G4" s="110"/>
      <c r="H4" s="111"/>
    </row>
    <row r="5" spans="1:8" ht="43.5">
      <c r="A5" s="89"/>
      <c r="B5" s="65" t="s">
        <v>136</v>
      </c>
      <c r="C5" s="37" t="s">
        <v>95</v>
      </c>
      <c r="D5" s="68" t="str">
        <f>VLOOKUP(C5,Contatos!B$2:C$37,2,0)</f>
        <v>17-98135-3333</v>
      </c>
      <c r="E5" s="58" t="s">
        <v>133</v>
      </c>
      <c r="F5" s="57" t="s">
        <v>137</v>
      </c>
      <c r="G5" s="5" t="s">
        <v>144</v>
      </c>
      <c r="H5" s="34" t="s">
        <v>218</v>
      </c>
    </row>
    <row r="6" spans="1:8" ht="30.75">
      <c r="A6" s="89"/>
      <c r="B6" s="37" t="s">
        <v>138</v>
      </c>
      <c r="C6" s="37" t="s">
        <v>45</v>
      </c>
      <c r="D6" s="68" t="str">
        <f>VLOOKUP(C6,Contatos!B$2:C$37,2,0)</f>
        <v>17-99645-0645</v>
      </c>
      <c r="E6" s="56" t="s">
        <v>133</v>
      </c>
      <c r="F6" s="57" t="s">
        <v>164</v>
      </c>
      <c r="G6" s="5"/>
      <c r="H6" s="5"/>
    </row>
    <row r="7" spans="1:8" ht="30.75">
      <c r="A7" s="89"/>
      <c r="B7" s="37" t="s">
        <v>138</v>
      </c>
      <c r="C7" s="37" t="s">
        <v>49</v>
      </c>
      <c r="D7" s="68" t="str">
        <f>VLOOKUP(C7,Contatos!B$2:C$37,2,0)</f>
        <v>17-99647-7590</v>
      </c>
      <c r="E7" s="58" t="s">
        <v>133</v>
      </c>
      <c r="F7" s="57" t="s">
        <v>139</v>
      </c>
      <c r="G7" s="5"/>
      <c r="H7" s="5"/>
    </row>
    <row r="8" spans="1:8" ht="30.75">
      <c r="A8" s="89"/>
      <c r="B8" s="37" t="s">
        <v>142</v>
      </c>
      <c r="C8" s="37" t="s">
        <v>30</v>
      </c>
      <c r="D8" s="68" t="str">
        <f>VLOOKUP(C8,Contatos!B$2:C$37,2,0)</f>
        <v>17-99683-7757</v>
      </c>
      <c r="E8" s="58" t="s">
        <v>133</v>
      </c>
      <c r="F8" s="61" t="s">
        <v>141</v>
      </c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35" t="s">
        <v>144</v>
      </c>
      <c r="B10" s="5"/>
      <c r="C10" s="5"/>
      <c r="D10" s="5"/>
      <c r="E10" s="5"/>
      <c r="F10" s="5"/>
      <c r="G10" s="5"/>
      <c r="H10" s="5"/>
    </row>
    <row r="11" spans="1:8" ht="15.75">
      <c r="A11" s="25" t="s">
        <v>123</v>
      </c>
      <c r="B11" s="5"/>
      <c r="C11" s="5"/>
      <c r="D11" s="5"/>
      <c r="E11" s="5"/>
      <c r="F11" s="5"/>
      <c r="G11" s="5"/>
      <c r="H11" s="5"/>
    </row>
    <row r="12" spans="1:8" ht="15.75">
      <c r="A12" s="25"/>
    </row>
  </sheetData>
  <mergeCells count="6">
    <mergeCell ref="H2:H4"/>
    <mergeCell ref="A2:A8"/>
    <mergeCell ref="B2:B4"/>
    <mergeCell ref="E2:E4"/>
    <mergeCell ref="F2:F4"/>
    <mergeCell ref="G2:G4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AAA2-6730-4F0B-A613-D583D7536A44}">
  <dimension ref="A1:H12"/>
  <sheetViews>
    <sheetView workbookViewId="0">
      <selection activeCell="A10" sqref="A10"/>
    </sheetView>
  </sheetViews>
  <sheetFormatPr defaultRowHeight="15"/>
  <cols>
    <col min="1" max="1" width="10.7109375" bestFit="1" customWidth="1"/>
    <col min="2" max="2" width="8.7109375" bestFit="1" customWidth="1"/>
    <col min="3" max="3" width="32.42578125" bestFit="1" customWidth="1"/>
    <col min="4" max="4" width="24.140625" bestFit="1" customWidth="1"/>
    <col min="5" max="5" width="22.28515625" bestFit="1" customWidth="1"/>
    <col min="6" max="6" width="19.5703125" bestFit="1" customWidth="1"/>
    <col min="7" max="7" width="1.5703125" bestFit="1" customWidth="1"/>
    <col min="8" max="8" width="42.140625" customWidth="1"/>
  </cols>
  <sheetData>
    <row r="1" spans="1:8" ht="18.75">
      <c r="A1" s="6" t="s">
        <v>124</v>
      </c>
      <c r="B1" s="22" t="s">
        <v>125</v>
      </c>
      <c r="C1" s="22" t="s">
        <v>126</v>
      </c>
      <c r="D1" s="22" t="s">
        <v>127</v>
      </c>
      <c r="E1" s="9" t="s">
        <v>128</v>
      </c>
      <c r="F1" s="9" t="s">
        <v>129</v>
      </c>
      <c r="G1" s="5"/>
      <c r="H1" s="5"/>
    </row>
    <row r="2" spans="1:8" ht="30.75">
      <c r="A2" s="89" t="s">
        <v>219</v>
      </c>
      <c r="B2" s="87" t="s">
        <v>131</v>
      </c>
      <c r="C2" s="67" t="s">
        <v>212</v>
      </c>
      <c r="D2" s="67" t="s">
        <v>213</v>
      </c>
      <c r="E2" s="100" t="s">
        <v>133</v>
      </c>
      <c r="F2" s="102" t="s">
        <v>134</v>
      </c>
      <c r="G2" s="110" t="s">
        <v>144</v>
      </c>
      <c r="H2" s="111"/>
    </row>
    <row r="3" spans="1:8" ht="30.75">
      <c r="A3" s="89"/>
      <c r="B3" s="87"/>
      <c r="C3" s="67" t="s">
        <v>214</v>
      </c>
      <c r="D3" s="67" t="s">
        <v>215</v>
      </c>
      <c r="E3" s="100"/>
      <c r="F3" s="102"/>
      <c r="G3" s="110"/>
      <c r="H3" s="111"/>
    </row>
    <row r="4" spans="1:8" ht="30.75">
      <c r="A4" s="89"/>
      <c r="B4" s="99"/>
      <c r="C4" s="17" t="s">
        <v>216</v>
      </c>
      <c r="D4" s="17" t="s">
        <v>217</v>
      </c>
      <c r="E4" s="104"/>
      <c r="F4" s="103"/>
      <c r="G4" s="110"/>
      <c r="H4" s="111"/>
    </row>
    <row r="5" spans="1:8" ht="43.5">
      <c r="A5" s="89"/>
      <c r="B5" s="69" t="s">
        <v>136</v>
      </c>
      <c r="C5" s="57" t="s">
        <v>95</v>
      </c>
      <c r="D5" s="58" t="str">
        <f>VLOOKUP(C5,Contatos!B$2:C$37,2,0)</f>
        <v>17-98135-3333</v>
      </c>
      <c r="E5" s="56" t="s">
        <v>133</v>
      </c>
      <c r="F5" s="57" t="s">
        <v>137</v>
      </c>
      <c r="G5" s="5" t="s">
        <v>144</v>
      </c>
      <c r="H5" s="34" t="s">
        <v>220</v>
      </c>
    </row>
    <row r="6" spans="1:8" ht="30.75">
      <c r="A6" s="89"/>
      <c r="B6" s="57" t="s">
        <v>138</v>
      </c>
      <c r="C6" s="57" t="s">
        <v>45</v>
      </c>
      <c r="D6" s="58" t="str">
        <f>VLOOKUP(C6,Contatos!B$2:C$37,2,0)</f>
        <v>17-99645-0645</v>
      </c>
      <c r="E6" s="56" t="s">
        <v>133</v>
      </c>
      <c r="F6" s="57" t="s">
        <v>139</v>
      </c>
      <c r="G6" s="5"/>
      <c r="H6" s="5"/>
    </row>
    <row r="7" spans="1:8" ht="30.75">
      <c r="A7" s="89"/>
      <c r="B7" s="57" t="s">
        <v>140</v>
      </c>
      <c r="C7" s="57" t="s">
        <v>49</v>
      </c>
      <c r="D7" s="58" t="str">
        <f>VLOOKUP(C7,Contatos!B$2:C$37,2,0)</f>
        <v>17-99647-7590</v>
      </c>
      <c r="E7" s="58" t="s">
        <v>133</v>
      </c>
      <c r="F7" s="57" t="s">
        <v>165</v>
      </c>
      <c r="G7" s="5"/>
      <c r="H7" s="5"/>
    </row>
    <row r="8" spans="1:8" ht="30.75">
      <c r="A8" s="89"/>
      <c r="B8" s="57" t="s">
        <v>166</v>
      </c>
      <c r="C8" s="57" t="s">
        <v>30</v>
      </c>
      <c r="D8" s="58" t="str">
        <f>VLOOKUP(C8,Contatos!B$2:C$37,2,0)</f>
        <v>17-99683-7757</v>
      </c>
      <c r="E8" s="58" t="s">
        <v>133</v>
      </c>
      <c r="F8" s="57" t="s">
        <v>167</v>
      </c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35" t="s">
        <v>144</v>
      </c>
      <c r="B10" s="5"/>
      <c r="C10" s="5"/>
      <c r="D10" s="5"/>
      <c r="E10" s="5"/>
      <c r="F10" s="5"/>
      <c r="G10" s="5"/>
      <c r="H10" s="5"/>
    </row>
    <row r="11" spans="1:8" ht="15.75">
      <c r="A11" s="25" t="s">
        <v>123</v>
      </c>
      <c r="B11" s="5"/>
      <c r="C11" s="5"/>
      <c r="D11" s="5"/>
      <c r="E11" s="5"/>
      <c r="F11" s="5"/>
      <c r="G11" s="5"/>
      <c r="H11" s="5"/>
    </row>
    <row r="12" spans="1:8" ht="15.75">
      <c r="A12" s="25"/>
    </row>
  </sheetData>
  <mergeCells count="6">
    <mergeCell ref="H2:H4"/>
    <mergeCell ref="A2:A8"/>
    <mergeCell ref="B2:B4"/>
    <mergeCell ref="E2:E4"/>
    <mergeCell ref="F2:F4"/>
    <mergeCell ref="G2:G4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B89D-C200-48E2-8C5D-27C0A128532F}">
  <dimension ref="A1:H12"/>
  <sheetViews>
    <sheetView workbookViewId="0">
      <selection activeCell="A10" sqref="A10"/>
    </sheetView>
  </sheetViews>
  <sheetFormatPr defaultRowHeight="15"/>
  <cols>
    <col min="1" max="1" width="12.140625" bestFit="1" customWidth="1"/>
    <col min="2" max="2" width="8.7109375" bestFit="1" customWidth="1"/>
    <col min="3" max="3" width="40.28515625" bestFit="1" customWidth="1"/>
    <col min="4" max="4" width="24.140625" bestFit="1" customWidth="1"/>
    <col min="5" max="5" width="20.7109375" bestFit="1" customWidth="1"/>
    <col min="6" max="6" width="19.5703125" bestFit="1" customWidth="1"/>
    <col min="7" max="7" width="1.5703125" bestFit="1" customWidth="1"/>
    <col min="8" max="8" width="47.85546875" customWidth="1"/>
  </cols>
  <sheetData>
    <row r="1" spans="1:8" ht="18.75">
      <c r="A1" s="6" t="s">
        <v>124</v>
      </c>
      <c r="B1" s="8" t="s">
        <v>125</v>
      </c>
      <c r="C1" s="8" t="s">
        <v>126</v>
      </c>
      <c r="D1" s="8" t="s">
        <v>127</v>
      </c>
      <c r="E1" s="9" t="s">
        <v>128</v>
      </c>
      <c r="F1" s="9" t="s">
        <v>129</v>
      </c>
      <c r="G1" s="5"/>
      <c r="H1" s="5"/>
    </row>
    <row r="2" spans="1:8" ht="30.75">
      <c r="A2" s="105" t="s">
        <v>221</v>
      </c>
      <c r="B2" s="87" t="s">
        <v>131</v>
      </c>
      <c r="C2" s="67" t="s">
        <v>212</v>
      </c>
      <c r="D2" s="67" t="s">
        <v>213</v>
      </c>
      <c r="E2" s="100" t="s">
        <v>133</v>
      </c>
      <c r="F2" s="102" t="s">
        <v>134</v>
      </c>
      <c r="G2" s="110" t="s">
        <v>144</v>
      </c>
      <c r="H2" s="111"/>
    </row>
    <row r="3" spans="1:8" ht="15.75">
      <c r="A3" s="105"/>
      <c r="B3" s="87"/>
      <c r="C3" s="67" t="s">
        <v>214</v>
      </c>
      <c r="D3" s="67" t="s">
        <v>215</v>
      </c>
      <c r="E3" s="100"/>
      <c r="F3" s="102"/>
      <c r="G3" s="110"/>
      <c r="H3" s="111"/>
    </row>
    <row r="4" spans="1:8" ht="30.75">
      <c r="A4" s="105"/>
      <c r="B4" s="106"/>
      <c r="C4" s="17" t="s">
        <v>216</v>
      </c>
      <c r="D4" s="17" t="s">
        <v>217</v>
      </c>
      <c r="E4" s="104"/>
      <c r="F4" s="107"/>
      <c r="G4" s="110"/>
      <c r="H4" s="111"/>
    </row>
    <row r="5" spans="1:8" ht="43.5">
      <c r="A5" s="105"/>
      <c r="B5" s="70" t="s">
        <v>136</v>
      </c>
      <c r="C5" s="58" t="s">
        <v>95</v>
      </c>
      <c r="D5" s="58" t="str">
        <f>VLOOKUP(C5,Contatos!B$2:C$37,2,0)</f>
        <v>17-98135-3333</v>
      </c>
      <c r="E5" s="56" t="s">
        <v>133</v>
      </c>
      <c r="F5" s="56" t="s">
        <v>137</v>
      </c>
      <c r="G5" s="5" t="s">
        <v>144</v>
      </c>
      <c r="H5" s="34" t="s">
        <v>159</v>
      </c>
    </row>
    <row r="6" spans="1:8" ht="30.75">
      <c r="A6" s="105"/>
      <c r="B6" s="56" t="s">
        <v>138</v>
      </c>
      <c r="C6" s="56" t="s">
        <v>45</v>
      </c>
      <c r="D6" s="58" t="str">
        <f>VLOOKUP(C6,Contatos!B$2:C$37,2,0)</f>
        <v>17-99645-0645</v>
      </c>
      <c r="E6" s="56" t="s">
        <v>133</v>
      </c>
      <c r="F6" s="56" t="s">
        <v>139</v>
      </c>
      <c r="G6" s="5"/>
      <c r="H6" s="5"/>
    </row>
    <row r="7" spans="1:8" ht="30.75">
      <c r="A7" s="105"/>
      <c r="B7" s="58" t="s">
        <v>140</v>
      </c>
      <c r="C7" s="58" t="s">
        <v>49</v>
      </c>
      <c r="D7" s="58" t="str">
        <f>VLOOKUP(C7,Contatos!B$2:C$37,2,0)</f>
        <v>17-99647-7590</v>
      </c>
      <c r="E7" s="58" t="s">
        <v>133</v>
      </c>
      <c r="F7" s="58" t="s">
        <v>165</v>
      </c>
      <c r="G7" s="5"/>
      <c r="H7" s="5"/>
    </row>
    <row r="8" spans="1:8" ht="30.75">
      <c r="A8" s="105"/>
      <c r="B8" s="58" t="s">
        <v>166</v>
      </c>
      <c r="C8" s="58" t="s">
        <v>30</v>
      </c>
      <c r="D8" s="58" t="str">
        <f>VLOOKUP(C8,Contatos!B$2:C$37,2,0)</f>
        <v>17-99683-7757</v>
      </c>
      <c r="E8" s="58" t="s">
        <v>133</v>
      </c>
      <c r="F8" s="58" t="s">
        <v>167</v>
      </c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35" t="s">
        <v>144</v>
      </c>
      <c r="B10" s="5"/>
      <c r="C10" s="5"/>
      <c r="D10" s="5"/>
      <c r="E10" s="5"/>
      <c r="F10" s="5"/>
      <c r="G10" s="5"/>
      <c r="H10" s="5"/>
    </row>
    <row r="11" spans="1:8" ht="15.75">
      <c r="A11" s="25" t="s">
        <v>123</v>
      </c>
      <c r="B11" s="5"/>
      <c r="C11" s="5"/>
      <c r="D11" s="5"/>
      <c r="E11" s="5"/>
      <c r="F11" s="5"/>
      <c r="G11" s="5"/>
      <c r="H11" s="5"/>
    </row>
    <row r="12" spans="1:8" ht="15.75">
      <c r="A12" s="25"/>
    </row>
  </sheetData>
  <mergeCells count="6">
    <mergeCell ref="H2:H4"/>
    <mergeCell ref="A2:A8"/>
    <mergeCell ref="B2:B4"/>
    <mergeCell ref="E2:E4"/>
    <mergeCell ref="F2:F4"/>
    <mergeCell ref="G2:G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EC08-5517-4B65-869C-F3B18011EED4}">
  <dimension ref="A1:G16"/>
  <sheetViews>
    <sheetView workbookViewId="0">
      <selection activeCell="A14" sqref="A14"/>
    </sheetView>
  </sheetViews>
  <sheetFormatPr defaultRowHeight="15"/>
  <cols>
    <col min="1" max="1" width="9.7109375" bestFit="1" customWidth="1"/>
    <col min="2" max="2" width="26.7109375" bestFit="1" customWidth="1"/>
    <col min="3" max="3" width="16" bestFit="1" customWidth="1"/>
    <col min="4" max="4" width="23.85546875" bestFit="1" customWidth="1"/>
    <col min="5" max="5" width="19.5703125" bestFit="1" customWidth="1"/>
    <col min="6" max="6" width="1.5703125" bestFit="1" customWidth="1"/>
    <col min="7" max="7" width="74.28515625" bestFit="1" customWidth="1"/>
  </cols>
  <sheetData>
    <row r="1" spans="1:7" ht="15.75">
      <c r="A1" s="16" t="s">
        <v>125</v>
      </c>
      <c r="B1" s="8" t="s">
        <v>126</v>
      </c>
      <c r="C1" s="8" t="s">
        <v>127</v>
      </c>
      <c r="D1" s="9" t="s">
        <v>128</v>
      </c>
      <c r="E1" s="9" t="s">
        <v>129</v>
      </c>
      <c r="F1" s="5"/>
      <c r="G1" s="5"/>
    </row>
    <row r="2" spans="1:7" ht="15.75">
      <c r="A2" s="102" t="s">
        <v>131</v>
      </c>
      <c r="B2" s="11" t="s">
        <v>105</v>
      </c>
      <c r="C2" s="11" t="str">
        <f>VLOOKUP(B2,Contatos!B$2:C$37,2,0)</f>
        <v>17-99783-5048</v>
      </c>
      <c r="D2" s="102" t="s">
        <v>133</v>
      </c>
      <c r="E2" s="102" t="s">
        <v>134</v>
      </c>
      <c r="F2" s="5"/>
      <c r="G2" s="18" t="s">
        <v>222</v>
      </c>
    </row>
    <row r="3" spans="1:7" ht="15.75">
      <c r="A3" s="102"/>
      <c r="B3" s="11" t="s">
        <v>108</v>
      </c>
      <c r="C3" s="11" t="str">
        <f>VLOOKUP(B3,Contatos!B$2:C$37,2,0)</f>
        <v>17-99618-1581</v>
      </c>
      <c r="D3" s="102"/>
      <c r="E3" s="102"/>
      <c r="F3" s="5"/>
      <c r="G3" s="23" t="s">
        <v>223</v>
      </c>
    </row>
    <row r="4" spans="1:7" ht="29.25">
      <c r="A4" s="102"/>
      <c r="B4" s="11" t="s">
        <v>111</v>
      </c>
      <c r="C4" s="11" t="str">
        <f>VLOOKUP(B4,Contatos!B$2:C$37,2,0)</f>
        <v>17-99781-4513</v>
      </c>
      <c r="D4" s="102"/>
      <c r="E4" s="102"/>
      <c r="F4" s="5" t="s">
        <v>144</v>
      </c>
      <c r="G4" s="34" t="s">
        <v>224</v>
      </c>
    </row>
    <row r="5" spans="1:7" ht="15.75">
      <c r="A5" s="102"/>
      <c r="B5" s="11" t="s">
        <v>114</v>
      </c>
      <c r="C5" s="11" t="str">
        <f>VLOOKUP(B5,Contatos!B$2:C$37,2,0)</f>
        <v>17-99781-6893</v>
      </c>
      <c r="D5" s="102"/>
      <c r="E5" s="102"/>
      <c r="F5" s="5"/>
      <c r="G5" s="5"/>
    </row>
    <row r="6" spans="1:7" ht="15.75">
      <c r="A6" s="102"/>
      <c r="B6" s="11" t="s">
        <v>117</v>
      </c>
      <c r="C6" s="11" t="str">
        <f>VLOOKUP(B6,Contatos!B$2:C$37,2,0)</f>
        <v>17-99167-4055</v>
      </c>
      <c r="D6" s="102"/>
      <c r="E6" s="102"/>
      <c r="F6" s="5"/>
      <c r="G6" s="5"/>
    </row>
    <row r="7" spans="1:7" ht="15.75">
      <c r="A7" s="102"/>
      <c r="B7" s="11" t="s">
        <v>120</v>
      </c>
      <c r="C7" s="11" t="str">
        <f>VLOOKUP(B7,Contatos!B$2:C$37,2,0)</f>
        <v>17-99789-5734</v>
      </c>
      <c r="D7" s="102"/>
      <c r="E7" s="102"/>
      <c r="F7" s="5"/>
      <c r="G7" s="5"/>
    </row>
    <row r="8" spans="1:7" ht="15.75">
      <c r="A8" s="11" t="s">
        <v>136</v>
      </c>
      <c r="B8" s="11" t="s">
        <v>225</v>
      </c>
      <c r="C8" s="11" t="str">
        <f>VLOOKUP(B8,Contatos!B$2:C$37,2,0)</f>
        <v>11-99014-2049</v>
      </c>
      <c r="D8" s="11" t="s">
        <v>133</v>
      </c>
      <c r="E8" s="11" t="s">
        <v>137</v>
      </c>
      <c r="F8" s="5"/>
      <c r="G8" s="5"/>
    </row>
    <row r="9" spans="1:7" ht="15.75">
      <c r="A9" s="57" t="s">
        <v>138</v>
      </c>
      <c r="B9" s="57" t="s">
        <v>45</v>
      </c>
      <c r="C9" s="57" t="str">
        <f>VLOOKUP(B9,Contatos!B$2:C$37,2,0)</f>
        <v>17-99645-0645</v>
      </c>
      <c r="D9" s="57" t="s">
        <v>133</v>
      </c>
      <c r="E9" s="57" t="s">
        <v>139</v>
      </c>
      <c r="F9" s="5"/>
      <c r="G9" s="5"/>
    </row>
    <row r="10" spans="1:7" ht="15.75">
      <c r="A10" s="57" t="s">
        <v>140</v>
      </c>
      <c r="B10" s="57" t="s">
        <v>49</v>
      </c>
      <c r="C10" s="57" t="str">
        <f>VLOOKUP(B10,Contatos!B$2:C$37,2,0)</f>
        <v>17-99647-7590</v>
      </c>
      <c r="D10" s="57" t="s">
        <v>133</v>
      </c>
      <c r="E10" s="57" t="s">
        <v>141</v>
      </c>
      <c r="F10" s="5"/>
      <c r="G10" s="5"/>
    </row>
    <row r="11" spans="1:7" ht="15.75">
      <c r="A11" s="57" t="s">
        <v>142</v>
      </c>
      <c r="B11" s="57" t="s">
        <v>30</v>
      </c>
      <c r="C11" s="57" t="str">
        <f>VLOOKUP(B11,Contatos!B$2:C$37,2,0)</f>
        <v>17-99683-7757</v>
      </c>
      <c r="D11" s="57" t="s">
        <v>133</v>
      </c>
      <c r="E11" s="57" t="s">
        <v>167</v>
      </c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35" t="s">
        <v>144</v>
      </c>
      <c r="B14" s="5"/>
      <c r="C14" s="5"/>
      <c r="D14" s="5"/>
      <c r="E14" s="5"/>
      <c r="F14" s="5"/>
      <c r="G14" s="5"/>
    </row>
    <row r="15" spans="1:7" ht="15.75">
      <c r="A15" s="25" t="s">
        <v>123</v>
      </c>
      <c r="B15" s="5"/>
      <c r="C15" s="5"/>
      <c r="D15" s="5"/>
      <c r="E15" s="5"/>
      <c r="F15" s="5"/>
      <c r="G15" s="5"/>
    </row>
    <row r="16" spans="1:7" ht="15.75">
      <c r="A16" s="25"/>
    </row>
  </sheetData>
  <mergeCells count="3">
    <mergeCell ref="A2:A7"/>
    <mergeCell ref="D2:D7"/>
    <mergeCell ref="E2:E7"/>
  </mergeCells>
  <hyperlinks>
    <hyperlink ref="G3" r:id="rId1" xr:uid="{D4452A5B-2346-4724-8DD3-BAC6DAFF2F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A52E9D-A36E-499D-B053-955A3B150643}"/>
</file>

<file path=customXml/itemProps2.xml><?xml version="1.0" encoding="utf-8"?>
<ds:datastoreItem xmlns:ds="http://schemas.openxmlformats.org/officeDocument/2006/customXml" ds:itemID="{1D9E6F0F-8D97-4B5D-A464-1A40B4BAFBEB}"/>
</file>

<file path=customXml/itemProps3.xml><?xml version="1.0" encoding="utf-8"?>
<ds:datastoreItem xmlns:ds="http://schemas.openxmlformats.org/officeDocument/2006/customXml" ds:itemID="{777C8232-CF86-4003-9D3B-60BAABB6BC9E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Darlan Costa Da Costa</dc:creator>
  <cp:keywords/>
  <dc:description/>
  <cp:lastModifiedBy>IK - Vinicius De Souza Silva</cp:lastModifiedBy>
  <cp:revision/>
  <dcterms:created xsi:type="dcterms:W3CDTF">2024-05-10T09:41:28Z</dcterms:created>
  <dcterms:modified xsi:type="dcterms:W3CDTF">2026-02-24T18:55:15Z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</Properties>
</file>